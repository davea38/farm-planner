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lej\OneDrive - AHDB\Desktop\Machinery costing calculator\"/>
    </mc:Choice>
  </mc:AlternateContent>
  <workbookProtection workbookAlgorithmName="SHA-512" workbookHashValue="eAM8UaL/bzWUiamKNVmi1HH+2VXIcEAX0Y54UqAEdaPh1kR3AVBKd3bCNI3PpxunyfXhwxnnaiby0aqen3TRzw==" workbookSaltValue="gilZ/3FNjarz4ymx6Z/VAw==" workbookSpinCount="100000" lockStructure="1"/>
  <bookViews>
    <workbookView xWindow="0" yWindow="0" windowWidth="20460" windowHeight="7590"/>
  </bookViews>
  <sheets>
    <sheet name="Hectare" sheetId="1" r:id="rId1"/>
    <sheet name="Hour" sheetId="2" r:id="rId2"/>
    <sheet name="Workrate" sheetId="3" r:id="rId3"/>
    <sheet name="Repair costs" sheetId="4" r:id="rId4"/>
  </sheets>
  <calcPr calcId="162913"/>
</workbook>
</file>

<file path=xl/calcChain.xml><?xml version="1.0" encoding="utf-8"?>
<calcChain xmlns="http://schemas.openxmlformats.org/spreadsheetml/2006/main">
  <c r="C10" i="4" l="1"/>
  <c r="E27" i="1" l="1"/>
  <c r="E24" i="1"/>
  <c r="E28" i="1"/>
  <c r="E25" i="2"/>
  <c r="D30" i="3" l="1"/>
  <c r="D28" i="3"/>
  <c r="D20" i="3"/>
  <c r="D19" i="3"/>
  <c r="C30" i="3"/>
  <c r="C28" i="3"/>
  <c r="C20" i="3"/>
  <c r="C19" i="3"/>
  <c r="C18" i="3"/>
  <c r="E26" i="2"/>
  <c r="E15" i="2"/>
  <c r="E14" i="2"/>
  <c r="E13" i="2"/>
  <c r="E11" i="2"/>
  <c r="E12" i="2" s="1"/>
  <c r="E15" i="1"/>
  <c r="E14" i="1"/>
  <c r="E13" i="1"/>
  <c r="E11" i="1"/>
  <c r="E12" i="1" s="1"/>
  <c r="C26" i="3" l="1"/>
  <c r="E17" i="1"/>
  <c r="E19" i="1" s="1"/>
  <c r="E30" i="1" s="1"/>
  <c r="E35" i="1" s="1"/>
  <c r="E17" i="2"/>
  <c r="D21" i="3"/>
  <c r="D29" i="3" s="1"/>
  <c r="C21" i="3"/>
  <c r="C27" i="3" s="1"/>
  <c r="D26" i="3"/>
  <c r="E19" i="2" l="1"/>
  <c r="E29" i="2" s="1"/>
  <c r="E34" i="2" s="1"/>
  <c r="D27" i="3"/>
  <c r="D22" i="3"/>
  <c r="D23" i="3" s="1"/>
  <c r="D31" i="3"/>
  <c r="C29" i="3"/>
  <c r="C22" i="3"/>
  <c r="C23" i="3" s="1"/>
  <c r="C31" i="3"/>
</calcChain>
</file>

<file path=xl/comments1.xml><?xml version="1.0" encoding="utf-8"?>
<comments xmlns="http://schemas.openxmlformats.org/spreadsheetml/2006/main">
  <authors>
    <author>chamberlayner</author>
  </authors>
  <commentList>
    <comment ref="E6" authorId="0" shapeId="0">
      <text>
        <r>
          <rPr>
            <sz val="9"/>
            <color indexed="81"/>
            <rFont val="Tahoma"/>
            <family val="2"/>
          </rPr>
          <t xml:space="preserve">Enter the cost of purchase
</t>
        </r>
      </text>
    </comment>
    <comment ref="C7" authorId="0" shapeId="0">
      <text>
        <r>
          <rPr>
            <sz val="9"/>
            <color indexed="81"/>
            <rFont val="Tahoma"/>
            <family val="2"/>
          </rPr>
          <t>Number of years you will keep before replacing</t>
        </r>
      </text>
    </comment>
    <comment ref="E7" authorId="0" shapeId="0">
      <text>
        <r>
          <rPr>
            <sz val="9"/>
            <color indexed="81"/>
            <rFont val="Tahoma"/>
            <family val="2"/>
          </rPr>
          <t xml:space="preserve">Projected resale value 
</t>
        </r>
      </text>
    </comment>
    <comment ref="E8" authorId="0" shapeId="0">
      <text>
        <r>
          <rPr>
            <sz val="9"/>
            <color indexed="81"/>
            <rFont val="Tahoma"/>
            <family val="2"/>
          </rPr>
          <t xml:space="preserve">Hectares covered annually
</t>
        </r>
      </text>
    </comment>
    <comment ref="C12" authorId="0" shapeId="0">
      <text>
        <r>
          <rPr>
            <sz val="9"/>
            <color indexed="81"/>
            <rFont val="Tahoma"/>
            <family val="2"/>
          </rPr>
          <t xml:space="preserve">purchase or you would receive on the funds if you did not spend it
</t>
        </r>
      </text>
    </comment>
    <comment ref="C14" authorId="0" shapeId="0">
      <text>
        <r>
          <rPr>
            <sz val="9"/>
            <color indexed="81"/>
            <rFont val="Tahoma"/>
            <family val="2"/>
          </rPr>
          <t>Cost of insuring the macheinery as a % of purchase price (0.5-3%)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 xml:space="preserve">Cost of storing the macheinery while not in use (under cover or not) (0-3% of purchase cost)
</t>
        </r>
      </text>
    </comment>
    <comment ref="C22" authorId="0" shapeId="0">
      <text>
        <r>
          <rPr>
            <sz val="9"/>
            <color indexed="81"/>
            <rFont val="Tahoma"/>
            <family val="2"/>
          </rPr>
          <t xml:space="preserve">number of Ha that can be worked/covered in an hour
</t>
        </r>
      </text>
    </comment>
    <comment ref="C23" authorId="0" shapeId="0">
      <text>
        <r>
          <rPr>
            <sz val="9"/>
            <color indexed="81"/>
            <rFont val="Tahoma"/>
            <family val="2"/>
          </rPr>
          <t xml:space="preserve">Labour cost per hour for macheinery opporation </t>
        </r>
      </text>
    </comment>
    <comment ref="C25" authorId="0" shapeId="0">
      <text>
        <r>
          <rPr>
            <sz val="9"/>
            <color indexed="81"/>
            <rFont val="Tahoma"/>
            <family val="2"/>
          </rPr>
          <t xml:space="preserve">Average price of fuel
</t>
        </r>
      </text>
    </comment>
    <comment ref="C26" authorId="0" shapeId="0">
      <text>
        <r>
          <rPr>
            <sz val="9"/>
            <color indexed="81"/>
            <rFont val="Tahoma"/>
            <family val="2"/>
          </rPr>
          <t xml:space="preserve">litres of fuel used. For general figures use the link. </t>
        </r>
      </text>
    </comment>
    <comment ref="C28" authorId="0" shapeId="0">
      <text>
        <r>
          <rPr>
            <sz val="9"/>
            <color indexed="81"/>
            <rFont val="Tahoma"/>
            <family val="2"/>
          </rPr>
          <t>Cost as a % of purchased price - for budget purposes. Refere to 'Repair costs' tab.</t>
        </r>
      </text>
    </comment>
    <comment ref="E32" authorId="0" shapeId="0">
      <text>
        <r>
          <rPr>
            <sz val="9"/>
            <color indexed="81"/>
            <rFont val="Tahoma"/>
            <family val="2"/>
          </rPr>
          <t xml:space="preserve">Price that would have to be paid to contractor/machinery ring per ha
</t>
        </r>
      </text>
    </comment>
  </commentList>
</comments>
</file>

<file path=xl/comments2.xml><?xml version="1.0" encoding="utf-8"?>
<comments xmlns="http://schemas.openxmlformats.org/spreadsheetml/2006/main">
  <authors>
    <author>chamberlayner</author>
  </authors>
  <commentList>
    <comment ref="E6" authorId="0" shapeId="0">
      <text>
        <r>
          <rPr>
            <sz val="9"/>
            <color indexed="81"/>
            <rFont val="Tahoma"/>
            <family val="2"/>
          </rPr>
          <t xml:space="preserve">Enter the cost of purchase
</t>
        </r>
      </text>
    </comment>
    <comment ref="C7" authorId="0" shapeId="0">
      <text>
        <r>
          <rPr>
            <sz val="9"/>
            <color indexed="81"/>
            <rFont val="Tahoma"/>
            <family val="2"/>
          </rPr>
          <t>Number of years you will keep before replacing</t>
        </r>
      </text>
    </comment>
    <comment ref="E7" authorId="0" shapeId="0">
      <text>
        <r>
          <rPr>
            <sz val="9"/>
            <color indexed="81"/>
            <rFont val="Tahoma"/>
            <family val="2"/>
          </rPr>
          <t xml:space="preserve">Projected resale value 
</t>
        </r>
      </text>
    </comment>
    <comment ref="E8" authorId="0" shapeId="0">
      <text>
        <r>
          <rPr>
            <sz val="9"/>
            <color indexed="81"/>
            <rFont val="Tahoma"/>
            <family val="2"/>
          </rPr>
          <t xml:space="preserve">Hectares covered annually
</t>
        </r>
      </text>
    </comment>
    <comment ref="C12" authorId="0" shapeId="0">
      <text>
        <r>
          <rPr>
            <sz val="9"/>
            <color indexed="81"/>
            <rFont val="Tahoma"/>
            <family val="2"/>
          </rPr>
          <t xml:space="preserve">purchase or you would receive on the funds if you did not spend it
</t>
        </r>
      </text>
    </comment>
    <comment ref="C14" authorId="0" shapeId="0">
      <text>
        <r>
          <rPr>
            <sz val="9"/>
            <color indexed="81"/>
            <rFont val="Tahoma"/>
            <family val="2"/>
          </rPr>
          <t xml:space="preserve">Cost of insuring the macheinery as a % of purchase price (0.5-3%)
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 xml:space="preserve">Cost of storing the macheinery while not in use (under cover or not) (0-3% of purchase cost)
</t>
        </r>
      </text>
    </comment>
    <comment ref="C22" authorId="0" shapeId="0">
      <text>
        <r>
          <rPr>
            <sz val="9"/>
            <color indexed="81"/>
            <rFont val="Tahoma"/>
            <family val="2"/>
          </rPr>
          <t xml:space="preserve">number of Ha that can be worked/covered in an hour
</t>
        </r>
      </text>
    </comment>
    <comment ref="C23" authorId="0" shapeId="0">
      <text>
        <r>
          <rPr>
            <sz val="9"/>
            <color indexed="81"/>
            <rFont val="Tahoma"/>
            <family val="2"/>
          </rPr>
          <t xml:space="preserve">Consumption of fuel litres per ha for the macheinery opporation. 
</t>
        </r>
      </text>
    </comment>
    <comment ref="C24" authorId="0" shapeId="0">
      <text>
        <r>
          <rPr>
            <sz val="9"/>
            <color indexed="81"/>
            <rFont val="Tahoma"/>
            <family val="2"/>
          </rPr>
          <t xml:space="preserve">Average price of fuel
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Cost as a % of purchased price - see tab 'Repair Costs' for relivent 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7" authorId="0" shapeId="0">
      <text>
        <r>
          <rPr>
            <sz val="9"/>
            <color indexed="81"/>
            <rFont val="Tahoma"/>
            <family val="2"/>
          </rPr>
          <t xml:space="preserve">Labour cost per hour for machinery opporation  
</t>
        </r>
      </text>
    </comment>
    <comment ref="E31" authorId="0" shapeId="0">
      <text>
        <r>
          <rPr>
            <sz val="9"/>
            <color indexed="81"/>
            <rFont val="Tahoma"/>
            <family val="2"/>
          </rPr>
          <t xml:space="preserve">Price that would have to be paid to contractor/machinery ring per hour
</t>
        </r>
      </text>
    </comment>
  </commentList>
</comments>
</file>

<file path=xl/comments3.xml><?xml version="1.0" encoding="utf-8"?>
<comments xmlns="http://schemas.openxmlformats.org/spreadsheetml/2006/main">
  <authors>
    <author>hendersonh</author>
  </authors>
  <commentList>
    <comment ref="B9" authorId="0" shapeId="0">
      <text>
        <r>
          <rPr>
            <sz val="9"/>
            <color indexed="81"/>
            <rFont val="Tahoma"/>
            <family val="2"/>
          </rPr>
          <t xml:space="preserve">If not appliying anything set to zero. 
</t>
        </r>
      </text>
    </comment>
    <comment ref="B11" authorId="0" shapeId="0">
      <text>
        <r>
          <rPr>
            <sz val="9"/>
            <color indexed="81"/>
            <rFont val="Tahoma"/>
            <family val="2"/>
          </rPr>
          <t xml:space="preserve">If not appliying anything set to zero. 
</t>
        </r>
      </text>
    </comment>
    <comment ref="B12" authorId="0" shapeId="0">
      <text>
        <r>
          <rPr>
            <sz val="9"/>
            <color indexed="81"/>
            <rFont val="Tahoma"/>
            <family val="2"/>
          </rPr>
          <t>If not leaving the field to re-fill, set to zero</t>
        </r>
      </text>
    </comment>
    <comment ref="B13" authorId="0" shapeId="0">
      <text>
        <r>
          <rPr>
            <sz val="9"/>
            <color indexed="81"/>
            <rFont val="Tahoma"/>
            <family val="2"/>
          </rPr>
          <t>If not re-filling set to zero</t>
        </r>
      </text>
    </comment>
    <comment ref="B14" authorId="0" shapeId="0">
      <text>
        <r>
          <rPr>
            <sz val="9"/>
            <color indexed="81"/>
            <rFont val="Tahoma"/>
            <family val="2"/>
          </rPr>
          <t xml:space="preserve">Gap between spot rate output and actual time spent in field completing task.  </t>
        </r>
      </text>
    </comment>
  </commentList>
</comments>
</file>

<file path=xl/sharedStrings.xml><?xml version="1.0" encoding="utf-8"?>
<sst xmlns="http://schemas.openxmlformats.org/spreadsheetml/2006/main" count="132" uniqueCount="91">
  <si>
    <t>Purchase price</t>
  </si>
  <si>
    <t>Selling price after</t>
  </si>
  <si>
    <t>Interest</t>
  </si>
  <si>
    <t>Years</t>
  </si>
  <si>
    <t>% rate</t>
  </si>
  <si>
    <t>Insurance</t>
  </si>
  <si>
    <t>% of purchase price</t>
  </si>
  <si>
    <t>Total annual fixed cost</t>
  </si>
  <si>
    <t>Hectares worked annually</t>
  </si>
  <si>
    <t>Spares and repairs</t>
  </si>
  <si>
    <t>Total cost per Ha</t>
  </si>
  <si>
    <t>Hours worked annually</t>
  </si>
  <si>
    <t>Model</t>
  </si>
  <si>
    <t>A</t>
  </si>
  <si>
    <t>B</t>
  </si>
  <si>
    <t>Application rate</t>
  </si>
  <si>
    <t>Field efficiency (%)</t>
  </si>
  <si>
    <t>Output</t>
  </si>
  <si>
    <t>Area covered per load (ha)</t>
  </si>
  <si>
    <t>Total time per load (min)</t>
  </si>
  <si>
    <t>Overall efficiency (%)</t>
  </si>
  <si>
    <t>Components</t>
  </si>
  <si>
    <t>Application time per load (min)</t>
  </si>
  <si>
    <t>Application time (%)</t>
  </si>
  <si>
    <t>Filling time per load (min)</t>
  </si>
  <si>
    <t>Transport time per load (min)</t>
  </si>
  <si>
    <t>Transport time (%)</t>
  </si>
  <si>
    <t>Implement width (m)</t>
  </si>
  <si>
    <t>%</t>
  </si>
  <si>
    <t>Annual use (hours)</t>
  </si>
  <si>
    <t>% of purchase price (table 1)</t>
  </si>
  <si>
    <t>Tractors</t>
  </si>
  <si>
    <t>Other implements and machines</t>
  </si>
  <si>
    <t>Actual annual depreciation</t>
  </si>
  <si>
    <t>£</t>
  </si>
  <si>
    <t>Annual savings by using contractor and not purchasing</t>
  </si>
  <si>
    <t xml:space="preserve">Fixed costs </t>
  </si>
  <si>
    <t>£/Lt</t>
  </si>
  <si>
    <t>Cost of fuel per hour</t>
  </si>
  <si>
    <t>Operating costs</t>
  </si>
  <si>
    <t>Labour cost per hour</t>
  </si>
  <si>
    <t>Ha covered/worked per hour</t>
  </si>
  <si>
    <t>Cost of fuel per Ha</t>
  </si>
  <si>
    <t>£/Hr</t>
  </si>
  <si>
    <t xml:space="preserve"> -£ would suggest you may be better purchasing</t>
  </si>
  <si>
    <t>Average value per year owned</t>
  </si>
  <si>
    <t>Annual depreciation</t>
  </si>
  <si>
    <t>Building /storage cost</t>
  </si>
  <si>
    <t>Fixed cost per hectare</t>
  </si>
  <si>
    <t>Labour per Ha</t>
  </si>
  <si>
    <t>£/L</t>
  </si>
  <si>
    <t>Per Hr</t>
  </si>
  <si>
    <t>Ha covered/worked</t>
  </si>
  <si>
    <t>Labour cost</t>
  </si>
  <si>
    <t>Fuel price (click for price data)</t>
  </si>
  <si>
    <t>L/Ha</t>
  </si>
  <si>
    <t>Fuel consumption (click for typical figures, see page 12)</t>
  </si>
  <si>
    <t>Contractors/machinery ring charge per Ha</t>
  </si>
  <si>
    <t>(Click for typical contractor charges)</t>
  </si>
  <si>
    <t>Building/storage cost</t>
  </si>
  <si>
    <t>Fixed cost per hour</t>
  </si>
  <si>
    <t>Total cost per hour</t>
  </si>
  <si>
    <t>Contractors/machinery ring charge per hour</t>
  </si>
  <si>
    <t>Capacity (kg or L)</t>
  </si>
  <si>
    <t>Transport time, one way (min)</t>
  </si>
  <si>
    <t>Filling time (min)</t>
  </si>
  <si>
    <t>Input</t>
  </si>
  <si>
    <t>Filling rate (kg/min or L/min)</t>
  </si>
  <si>
    <t>Forward speed (km/Hr)</t>
  </si>
  <si>
    <t>Spot work rate (Ha/Hr)</t>
  </si>
  <si>
    <t>Overall work rate (Ha/Hr)</t>
  </si>
  <si>
    <t>Filling time (%)</t>
  </si>
  <si>
    <t>Hr/Year</t>
  </si>
  <si>
    <t>Annual use</t>
  </si>
  <si>
    <t>Budgeted repair and maintenance bill</t>
  </si>
  <si>
    <t>Table 1. Percentage of purchase price as cost of repairs</t>
  </si>
  <si>
    <t>Ploughs, cultivators and toothed harrows</t>
  </si>
  <si>
    <t>Rotary cultivators, mowers and pea cutters - windrowers</t>
  </si>
  <si>
    <t>Cereal drills, hydraulic loaders and potato planting attachments</t>
  </si>
  <si>
    <t>Grain dryers, grain cleaners and rolls</t>
  </si>
  <si>
    <t>Combine harvesters, self-propelled forage harvesters, self-propelled potato harvesters</t>
  </si>
  <si>
    <t>Trailed forage harvesters, pick-up balers, potato and sugar beet harvesters</t>
  </si>
  <si>
    <t>Disc harrows, fertiliser spreaders, muck spreaders,combine drills, potato planters with fertiliser attachment,sprayers and hedge cutters</t>
  </si>
  <si>
    <t>Tedders, unit drills, flail forage harvesters, semi-automatic, potato planters and transplanters</t>
  </si>
  <si>
    <t>Harvesting machinery</t>
  </si>
  <si>
    <t>Additional hours 
(for every 100 hours)</t>
  </si>
  <si>
    <r>
      <rPr>
        <sz val="18"/>
        <color rgb="FF00B0F0"/>
        <rFont val="Arial"/>
        <family val="2"/>
      </rPr>
      <t xml:space="preserve">Machinery costing calculator:
</t>
    </r>
    <r>
      <rPr>
        <b/>
        <sz val="18"/>
        <color rgb="FF00B0F0"/>
        <rFont val="Arial"/>
        <family val="2"/>
      </rPr>
      <t xml:space="preserve">Estimated Annual cost of repairs
</t>
    </r>
    <r>
      <rPr>
        <b/>
        <sz val="12"/>
        <color rgb="FF00B0F0"/>
        <rFont val="Arial"/>
        <family val="2"/>
      </rPr>
      <t>Note: Edit blue cells only</t>
    </r>
  </si>
  <si>
    <r>
      <rPr>
        <sz val="18"/>
        <color rgb="FF00B0F0"/>
        <rFont val="Arial"/>
        <family val="2"/>
      </rPr>
      <t>Machinery costing calculator:</t>
    </r>
    <r>
      <rPr>
        <b/>
        <sz val="18"/>
        <color rgb="FF00B0F0"/>
        <rFont val="Arial"/>
        <family val="2"/>
      </rPr>
      <t xml:space="preserve">
Machinery costs calculation (per hectare)
</t>
    </r>
    <r>
      <rPr>
        <b/>
        <sz val="12"/>
        <color rgb="FF00B0F0"/>
        <rFont val="Arial"/>
        <family val="2"/>
      </rPr>
      <t>Note: Edit blue cells only*</t>
    </r>
  </si>
  <si>
    <t>*Note: Blue cells pre-populated for illustrative purposes only</t>
  </si>
  <si>
    <r>
      <rPr>
        <sz val="18"/>
        <color rgb="FF00B0F0"/>
        <rFont val="Arial"/>
        <family val="2"/>
      </rPr>
      <t>Machinery costing calculator:</t>
    </r>
    <r>
      <rPr>
        <b/>
        <sz val="18"/>
        <color rgb="FF00B0F0"/>
        <rFont val="Arial"/>
        <family val="2"/>
      </rPr>
      <t xml:space="preserve">
Machinery costs calculation (per hour)
</t>
    </r>
    <r>
      <rPr>
        <b/>
        <sz val="12"/>
        <color rgb="FF00B0F0"/>
        <rFont val="Arial"/>
        <family val="2"/>
      </rPr>
      <t>Note: Edit blue cells only*</t>
    </r>
  </si>
  <si>
    <r>
      <rPr>
        <sz val="18"/>
        <color rgb="FF00B0F0"/>
        <rFont val="Arial"/>
        <family val="2"/>
      </rPr>
      <t>Machinery costing calculator:</t>
    </r>
    <r>
      <rPr>
        <b/>
        <sz val="18"/>
        <color rgb="FF00B0F0"/>
        <rFont val="Arial"/>
        <family val="2"/>
      </rPr>
      <t xml:space="preserve">
Workrate (compare between to machines)
</t>
    </r>
    <r>
      <rPr>
        <b/>
        <sz val="12"/>
        <color rgb="FF00B0F0"/>
        <rFont val="Arial"/>
        <family val="2"/>
      </rPr>
      <t>Note: Edit blue cells only*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</si>
</sst>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2" formatCode="_-&quot;£&quot;* #,##0_-;\-&quot;£&quot;* #,##0_-;_-&quot;£&quot;* &quot;-&quot;_-;_-@_-"/>
    <numFmt numFmtId="164" formatCode="&quot;£&quot;#,##0"/>
    <numFmt numFmtId="165" formatCode="&quot;£&quot;#,##0.00"/>
  </numFmts>
  <fonts count="1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8"/>
      <color rgb="FF00B0F0"/>
      <name val="Arial"/>
      <family val="2"/>
    </font>
    <font>
      <b/>
      <sz val="18"/>
      <color rgb="FF00B0F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Arial"/>
      <family val="2"/>
    </font>
    <font>
      <b/>
      <sz val="16"/>
      <color theme="1"/>
      <name val="Arial"/>
      <family val="2"/>
    </font>
    <font>
      <b/>
      <i/>
      <sz val="11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sz val="18"/>
      <color theme="0"/>
      <name val="Arial"/>
      <family val="2"/>
    </font>
    <font>
      <b/>
      <sz val="12"/>
      <color rgb="FF00B0F0"/>
      <name val="Arial"/>
      <family val="2"/>
    </font>
    <font>
      <sz val="11"/>
      <color rgb="FF00B0F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7">
    <xf numFmtId="0" fontId="0" fillId="0" borderId="0" xfId="0"/>
    <xf numFmtId="0" fontId="3" fillId="0" borderId="0" xfId="1"/>
    <xf numFmtId="0" fontId="6" fillId="3" borderId="0" xfId="0" applyFont="1" applyFill="1"/>
    <xf numFmtId="0" fontId="8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Border="1" applyAlignment="1">
      <alignment horizontal="center"/>
    </xf>
    <xf numFmtId="3" fontId="6" fillId="0" borderId="0" xfId="0" applyNumberFormat="1" applyFont="1"/>
    <xf numFmtId="3" fontId="6" fillId="0" borderId="1" xfId="0" applyNumberFormat="1" applyFont="1" applyFill="1" applyBorder="1"/>
    <xf numFmtId="0" fontId="6" fillId="0" borderId="0" xfId="0" applyFont="1" applyFill="1" applyBorder="1"/>
    <xf numFmtId="3" fontId="6" fillId="0" borderId="5" xfId="0" applyNumberFormat="1" applyFont="1" applyFill="1" applyBorder="1"/>
    <xf numFmtId="0" fontId="7" fillId="3" borderId="0" xfId="0" applyFont="1" applyFill="1"/>
    <xf numFmtId="3" fontId="7" fillId="0" borderId="1" xfId="0" applyNumberFormat="1" applyFont="1" applyFill="1" applyBorder="1"/>
    <xf numFmtId="0" fontId="6" fillId="0" borderId="0" xfId="0" applyFont="1" applyFill="1"/>
    <xf numFmtId="3" fontId="6" fillId="0" borderId="11" xfId="0" applyNumberFormat="1" applyFont="1" applyFill="1" applyBorder="1"/>
    <xf numFmtId="3" fontId="7" fillId="0" borderId="0" xfId="0" applyNumberFormat="1" applyFont="1" applyFill="1" applyBorder="1"/>
    <xf numFmtId="3" fontId="6" fillId="0" borderId="0" xfId="0" applyNumberFormat="1" applyFont="1" applyBorder="1"/>
    <xf numFmtId="0" fontId="9" fillId="0" borderId="0" xfId="1" applyFont="1" applyAlignment="1">
      <alignment wrapText="1"/>
    </xf>
    <xf numFmtId="3" fontId="6" fillId="0" borderId="0" xfId="0" applyNumberFormat="1" applyFont="1" applyFill="1" applyBorder="1"/>
    <xf numFmtId="0" fontId="7" fillId="0" borderId="0" xfId="1" applyFont="1" applyAlignment="1">
      <alignment horizontal="left" wrapText="1"/>
    </xf>
    <xf numFmtId="0" fontId="7" fillId="0" borderId="0" xfId="0" applyFont="1" applyFill="1"/>
    <xf numFmtId="0" fontId="9" fillId="0" borderId="0" xfId="1" applyFont="1"/>
    <xf numFmtId="164" fontId="7" fillId="0" borderId="10" xfId="0" applyNumberFormat="1" applyFont="1" applyFill="1" applyBorder="1"/>
    <xf numFmtId="3" fontId="6" fillId="0" borderId="0" xfId="0" applyNumberFormat="1" applyFont="1" applyFill="1"/>
    <xf numFmtId="3" fontId="7" fillId="0" borderId="2" xfId="0" applyNumberFormat="1" applyFont="1" applyFill="1" applyBorder="1"/>
    <xf numFmtId="4" fontId="7" fillId="0" borderId="0" xfId="0" applyNumberFormat="1" applyFont="1" applyFill="1" applyBorder="1"/>
    <xf numFmtId="165" fontId="7" fillId="0" borderId="1" xfId="0" applyNumberFormat="1" applyFont="1" applyFill="1" applyBorder="1"/>
    <xf numFmtId="165" fontId="6" fillId="0" borderId="5" xfId="0" applyNumberFormat="1" applyFont="1" applyBorder="1"/>
    <xf numFmtId="165" fontId="6" fillId="0" borderId="0" xfId="0" applyNumberFormat="1" applyFont="1"/>
    <xf numFmtId="165" fontId="7" fillId="0" borderId="1" xfId="0" applyNumberFormat="1" applyFont="1" applyBorder="1"/>
    <xf numFmtId="165" fontId="6" fillId="0" borderId="11" xfId="0" applyNumberFormat="1" applyFont="1" applyFill="1" applyBorder="1"/>
    <xf numFmtId="0" fontId="7" fillId="0" borderId="0" xfId="0" applyFont="1" applyFill="1" applyBorder="1"/>
    <xf numFmtId="165" fontId="7" fillId="0" borderId="0" xfId="0" applyNumberFormat="1" applyFont="1" applyFill="1" applyBorder="1"/>
    <xf numFmtId="165" fontId="6" fillId="0" borderId="0" xfId="0" applyNumberFormat="1" applyFont="1" applyFill="1" applyBorder="1"/>
    <xf numFmtId="42" fontId="7" fillId="0" borderId="10" xfId="0" applyNumberFormat="1" applyFont="1" applyFill="1" applyBorder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2" fontId="6" fillId="2" borderId="1" xfId="0" applyNumberFormat="1" applyFont="1" applyFill="1" applyBorder="1" applyAlignment="1">
      <alignment horizontal="center"/>
    </xf>
    <xf numFmtId="0" fontId="12" fillId="3" borderId="0" xfId="0" applyFont="1" applyFill="1"/>
    <xf numFmtId="0" fontId="12" fillId="0" borderId="0" xfId="0" applyFont="1"/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2" borderId="1" xfId="0" applyFont="1" applyFill="1" applyBorder="1"/>
    <xf numFmtId="0" fontId="12" fillId="0" borderId="9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3" borderId="0" xfId="0" applyFont="1" applyFill="1"/>
    <xf numFmtId="0" fontId="6" fillId="4" borderId="1" xfId="0" applyFont="1" applyFill="1" applyBorder="1"/>
    <xf numFmtId="3" fontId="6" fillId="4" borderId="1" xfId="0" applyNumberFormat="1" applyFont="1" applyFill="1" applyBorder="1"/>
    <xf numFmtId="2" fontId="6" fillId="4" borderId="1" xfId="0" applyNumberFormat="1" applyFont="1" applyFill="1" applyBorder="1"/>
    <xf numFmtId="0" fontId="7" fillId="4" borderId="1" xfId="0" applyFont="1" applyFill="1" applyBorder="1"/>
    <xf numFmtId="165" fontId="7" fillId="4" borderId="1" xfId="0" applyNumberFormat="1" applyFont="1" applyFill="1" applyBorder="1"/>
    <xf numFmtId="3" fontId="7" fillId="4" borderId="1" xfId="0" applyNumberFormat="1" applyFont="1" applyFill="1" applyBorder="1"/>
    <xf numFmtId="0" fontId="6" fillId="4" borderId="1" xfId="0" applyFont="1" applyFill="1" applyBorder="1" applyAlignment="1">
      <alignment horizontal="center"/>
    </xf>
    <xf numFmtId="0" fontId="12" fillId="4" borderId="1" xfId="0" applyFont="1" applyFill="1" applyBorder="1"/>
    <xf numFmtId="0" fontId="12" fillId="2" borderId="9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2" fillId="3" borderId="0" xfId="0" applyFont="1" applyFill="1" applyAlignment="1"/>
    <xf numFmtId="0" fontId="13" fillId="0" borderId="4" xfId="0" applyFont="1" applyBorder="1" applyAlignment="1"/>
    <xf numFmtId="0" fontId="12" fillId="0" borderId="9" xfId="0" applyFont="1" applyBorder="1" applyAlignment="1"/>
    <xf numFmtId="0" fontId="13" fillId="2" borderId="9" xfId="0" applyFont="1" applyFill="1" applyBorder="1" applyAlignment="1"/>
    <xf numFmtId="0" fontId="13" fillId="0" borderId="6" xfId="0" applyFont="1" applyBorder="1" applyAlignment="1"/>
    <xf numFmtId="0" fontId="12" fillId="0" borderId="6" xfId="0" applyFont="1" applyBorder="1" applyAlignment="1"/>
    <xf numFmtId="0" fontId="12" fillId="0" borderId="7" xfId="0" applyFont="1" applyBorder="1" applyAlignment="1"/>
    <xf numFmtId="0" fontId="12" fillId="0" borderId="3" xfId="0" applyFont="1" applyBorder="1" applyAlignment="1"/>
    <xf numFmtId="0" fontId="12" fillId="0" borderId="8" xfId="0" applyFont="1" applyBorder="1" applyAlignment="1"/>
    <xf numFmtId="0" fontId="12" fillId="0" borderId="0" xfId="0" applyFont="1" applyAlignment="1"/>
    <xf numFmtId="0" fontId="12" fillId="5" borderId="6" xfId="0" applyFont="1" applyFill="1" applyBorder="1" applyAlignment="1"/>
    <xf numFmtId="0" fontId="12" fillId="5" borderId="9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wrapText="1"/>
    </xf>
    <xf numFmtId="0" fontId="12" fillId="6" borderId="9" xfId="0" applyFont="1" applyFill="1" applyBorder="1" applyAlignment="1"/>
    <xf numFmtId="0" fontId="13" fillId="6" borderId="4" xfId="0" applyFont="1" applyFill="1" applyBorder="1" applyAlignment="1"/>
    <xf numFmtId="0" fontId="13" fillId="6" borderId="6" xfId="0" applyFont="1" applyFill="1" applyBorder="1" applyAlignment="1"/>
    <xf numFmtId="0" fontId="13" fillId="0" borderId="9" xfId="0" applyFont="1" applyBorder="1" applyAlignment="1">
      <alignment horizontal="center"/>
    </xf>
    <xf numFmtId="0" fontId="13" fillId="0" borderId="2" xfId="0" applyFont="1" applyBorder="1" applyAlignment="1">
      <alignment horizont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0" xfId="0" applyFont="1" applyFill="1" applyBorder="1" applyAlignment="1">
      <alignment horizontal="center" vertical="center"/>
    </xf>
    <xf numFmtId="2" fontId="6" fillId="0" borderId="0" xfId="0" applyNumberFormat="1" applyFont="1"/>
    <xf numFmtId="0" fontId="5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4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/>
    </xf>
    <xf numFmtId="0" fontId="16" fillId="3" borderId="0" xfId="0" applyFont="1" applyFill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3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0</xdr:row>
      <xdr:rowOff>114300</xdr:rowOff>
    </xdr:from>
    <xdr:to>
      <xdr:col>5</xdr:col>
      <xdr:colOff>549037</xdr:colOff>
      <xdr:row>0</xdr:row>
      <xdr:rowOff>563713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5975" y="114300"/>
          <a:ext cx="1034812" cy="4494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0</xdr:row>
      <xdr:rowOff>114300</xdr:rowOff>
    </xdr:from>
    <xdr:to>
      <xdr:col>5</xdr:col>
      <xdr:colOff>510937</xdr:colOff>
      <xdr:row>0</xdr:row>
      <xdr:rowOff>563713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5025" y="114300"/>
          <a:ext cx="1034812" cy="4494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0</xdr:row>
      <xdr:rowOff>142875</xdr:rowOff>
    </xdr:from>
    <xdr:to>
      <xdr:col>3</xdr:col>
      <xdr:colOff>1330087</xdr:colOff>
      <xdr:row>0</xdr:row>
      <xdr:rowOff>592288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42875"/>
          <a:ext cx="1034812" cy="4494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1357313</xdr:colOff>
      <xdr:row>0</xdr:row>
      <xdr:rowOff>261941</xdr:rowOff>
    </xdr:from>
    <xdr:to>
      <xdr:col>10</xdr:col>
      <xdr:colOff>2392125</xdr:colOff>
      <xdr:row>0</xdr:row>
      <xdr:rowOff>711354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5313" y="261941"/>
          <a:ext cx="1034812" cy="44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hdb.org.uk/fuel-prices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://www.naac.co.uk/userfiles/files/NAAC%20Contracting%20Charges%20Guide%202015-16.pdf" TargetMode="External"/><Relationship Id="rId1" Type="http://schemas.openxmlformats.org/officeDocument/2006/relationships/hyperlink" Target="https://ec.europa.eu/energy/intelligent/projects/sites/iee-projects/files/projects/documents/efficient20_trainer_handbook_en.pdf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naac.co.uk/userfiles/files/NAAC%20Contracting%20Charges%20Guide%202015-16.pdf" TargetMode="External"/><Relationship Id="rId7" Type="http://schemas.openxmlformats.org/officeDocument/2006/relationships/comments" Target="../comments2.xml"/><Relationship Id="rId2" Type="http://schemas.openxmlformats.org/officeDocument/2006/relationships/hyperlink" Target="https://ahdb.org.uk/fuel-prices" TargetMode="External"/><Relationship Id="rId1" Type="http://schemas.openxmlformats.org/officeDocument/2006/relationships/hyperlink" Target="https://ec.europa.eu/energy/intelligent/projects/sites/iee-projects/files/projects/documents/efficient20_trainer_handbook_en.pdf" TargetMode="External"/><Relationship Id="rId6" Type="http://schemas.openxmlformats.org/officeDocument/2006/relationships/vmlDrawing" Target="../drawings/vmlDrawing2.v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74"/>
  <sheetViews>
    <sheetView tabSelected="1" workbookViewId="0"/>
  </sheetViews>
  <sheetFormatPr defaultRowHeight="14.25" x14ac:dyDescent="0.2"/>
  <cols>
    <col min="1" max="1" width="9.140625" style="2"/>
    <col min="2" max="2" width="57.85546875" style="4" customWidth="1"/>
    <col min="3" max="3" width="9.28515625" style="4" bestFit="1" customWidth="1"/>
    <col min="4" max="4" width="23" style="4" customWidth="1"/>
    <col min="5" max="5" width="9.85546875" style="4" bestFit="1" customWidth="1"/>
    <col min="6" max="6" width="9.140625" style="4"/>
    <col min="7" max="32" width="9.140625" style="2"/>
    <col min="33" max="16384" width="9.140625" style="4"/>
  </cols>
  <sheetData>
    <row r="1" spans="2:6" s="2" customFormat="1" ht="65.25" customHeight="1" x14ac:dyDescent="0.2">
      <c r="B1" s="85" t="s">
        <v>87</v>
      </c>
      <c r="C1" s="86"/>
      <c r="D1" s="86"/>
      <c r="E1" s="86"/>
      <c r="F1" s="86"/>
    </row>
    <row r="2" spans="2:6" ht="18" x14ac:dyDescent="0.25">
      <c r="B2" s="3"/>
    </row>
    <row r="4" spans="2:6" ht="15" x14ac:dyDescent="0.25">
      <c r="B4" s="5"/>
      <c r="E4" s="6" t="s">
        <v>34</v>
      </c>
    </row>
    <row r="6" spans="2:6" x14ac:dyDescent="0.2">
      <c r="B6" s="4" t="s">
        <v>0</v>
      </c>
      <c r="E6" s="54">
        <v>126000</v>
      </c>
    </row>
    <row r="7" spans="2:6" x14ac:dyDescent="0.2">
      <c r="B7" s="4" t="s">
        <v>1</v>
      </c>
      <c r="C7" s="53">
        <v>8</v>
      </c>
      <c r="D7" s="4" t="s">
        <v>3</v>
      </c>
      <c r="E7" s="54">
        <v>34000</v>
      </c>
    </row>
    <row r="8" spans="2:6" x14ac:dyDescent="0.2">
      <c r="B8" s="4" t="s">
        <v>8</v>
      </c>
      <c r="E8" s="54">
        <v>1200</v>
      </c>
    </row>
    <row r="9" spans="2:6" x14ac:dyDescent="0.2">
      <c r="E9" s="7"/>
    </row>
    <row r="10" spans="2:6" ht="15" x14ac:dyDescent="0.25">
      <c r="B10" s="5" t="s">
        <v>36</v>
      </c>
      <c r="E10" s="7"/>
    </row>
    <row r="11" spans="2:6" x14ac:dyDescent="0.2">
      <c r="B11" s="4" t="s">
        <v>45</v>
      </c>
      <c r="E11" s="8">
        <f>(E6+E7)/2</f>
        <v>80000</v>
      </c>
    </row>
    <row r="12" spans="2:6" x14ac:dyDescent="0.2">
      <c r="B12" s="4" t="s">
        <v>2</v>
      </c>
      <c r="C12" s="53">
        <v>2</v>
      </c>
      <c r="D12" s="4" t="s">
        <v>4</v>
      </c>
      <c r="E12" s="8">
        <f>(E11*C12)/100</f>
        <v>1600</v>
      </c>
    </row>
    <row r="13" spans="2:6" x14ac:dyDescent="0.2">
      <c r="B13" s="4" t="s">
        <v>46</v>
      </c>
      <c r="E13" s="8">
        <f>(E6-E7)/C7</f>
        <v>11500</v>
      </c>
    </row>
    <row r="14" spans="2:6" x14ac:dyDescent="0.2">
      <c r="B14" s="4" t="s">
        <v>5</v>
      </c>
      <c r="C14" s="53">
        <v>2</v>
      </c>
      <c r="D14" s="4" t="s">
        <v>6</v>
      </c>
      <c r="E14" s="8">
        <f>(E6*C14)/100</f>
        <v>2520</v>
      </c>
    </row>
    <row r="15" spans="2:6" x14ac:dyDescent="0.2">
      <c r="B15" s="4" t="s">
        <v>59</v>
      </c>
      <c r="C15" s="53">
        <v>1</v>
      </c>
      <c r="D15" s="4" t="s">
        <v>6</v>
      </c>
      <c r="E15" s="8">
        <f>(E6*C15)/100</f>
        <v>1260</v>
      </c>
    </row>
    <row r="16" spans="2:6" x14ac:dyDescent="0.2">
      <c r="E16" s="23"/>
    </row>
    <row r="17" spans="1:32" s="5" customFormat="1" ht="15" x14ac:dyDescent="0.25">
      <c r="A17" s="11"/>
      <c r="B17" s="5" t="s">
        <v>7</v>
      </c>
      <c r="E17" s="24">
        <f>(E12+E13+E14+E15)</f>
        <v>16880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spans="1:32" ht="15" thickBot="1" x14ac:dyDescent="0.25">
      <c r="E18" s="14"/>
    </row>
    <row r="19" spans="1:32" s="5" customFormat="1" ht="15.75" thickTop="1" x14ac:dyDescent="0.25">
      <c r="A19" s="11"/>
      <c r="B19" s="5" t="s">
        <v>48</v>
      </c>
      <c r="E19" s="25">
        <f>(E17/E8)</f>
        <v>14.066666666666666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x14ac:dyDescent="0.2">
      <c r="E20" s="7"/>
    </row>
    <row r="21" spans="1:32" ht="15" customHeight="1" x14ac:dyDescent="0.25">
      <c r="B21" s="5" t="s">
        <v>39</v>
      </c>
      <c r="E21" s="16"/>
    </row>
    <row r="22" spans="1:32" x14ac:dyDescent="0.2">
      <c r="B22" s="4" t="s">
        <v>52</v>
      </c>
      <c r="C22" s="53">
        <v>4</v>
      </c>
      <c r="D22" s="4" t="s">
        <v>51</v>
      </c>
      <c r="E22" s="16"/>
    </row>
    <row r="23" spans="1:32" x14ac:dyDescent="0.2">
      <c r="B23" s="4" t="s">
        <v>53</v>
      </c>
      <c r="C23" s="53">
        <v>14</v>
      </c>
      <c r="D23" s="4" t="s">
        <v>43</v>
      </c>
      <c r="E23" s="16"/>
    </row>
    <row r="24" spans="1:32" s="5" customFormat="1" ht="15" x14ac:dyDescent="0.25">
      <c r="A24" s="11"/>
      <c r="B24" s="5" t="s">
        <v>49</v>
      </c>
      <c r="E24" s="26">
        <f>C23/C22</f>
        <v>3.5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1:32" ht="15" x14ac:dyDescent="0.25">
      <c r="B25" s="1" t="s">
        <v>54</v>
      </c>
      <c r="C25" s="53">
        <v>0.53</v>
      </c>
      <c r="D25" s="4" t="s">
        <v>50</v>
      </c>
      <c r="E25" s="27"/>
    </row>
    <row r="26" spans="1:32" x14ac:dyDescent="0.2">
      <c r="B26" s="17" t="s">
        <v>56</v>
      </c>
      <c r="C26" s="55">
        <v>20</v>
      </c>
      <c r="D26" s="4" t="s">
        <v>55</v>
      </c>
      <c r="E26" s="28"/>
    </row>
    <row r="27" spans="1:32" s="5" customFormat="1" ht="15" x14ac:dyDescent="0.25">
      <c r="A27" s="11"/>
      <c r="B27" s="19" t="s">
        <v>42</v>
      </c>
      <c r="E27" s="29">
        <f>C26*C25</f>
        <v>10.600000000000001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spans="1:32" s="5" customFormat="1" ht="15" x14ac:dyDescent="0.25">
      <c r="A28" s="11"/>
      <c r="B28" s="5" t="s">
        <v>9</v>
      </c>
      <c r="C28" s="56">
        <v>2</v>
      </c>
      <c r="D28" s="5" t="s">
        <v>6</v>
      </c>
      <c r="E28" s="26">
        <f>(E6*C28/100)/E8</f>
        <v>2.1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spans="1:32" ht="15" thickBot="1" x14ac:dyDescent="0.25">
      <c r="C29" s="9"/>
      <c r="E29" s="30"/>
    </row>
    <row r="30" spans="1:32" s="5" customFormat="1" ht="15.75" thickTop="1" x14ac:dyDescent="0.25">
      <c r="A30" s="11"/>
      <c r="B30" s="5" t="s">
        <v>10</v>
      </c>
      <c r="C30" s="31"/>
      <c r="E30" s="32">
        <f>E24+E27+E28+E19</f>
        <v>30.266666666666669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x14ac:dyDescent="0.2">
      <c r="C31" s="9"/>
      <c r="E31" s="33"/>
    </row>
    <row r="32" spans="1:32" s="5" customFormat="1" ht="15" x14ac:dyDescent="0.25">
      <c r="A32" s="11"/>
      <c r="B32" s="5" t="s">
        <v>57</v>
      </c>
      <c r="D32" s="4"/>
      <c r="E32" s="57">
        <v>76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x14ac:dyDescent="0.2">
      <c r="B33" s="21" t="s">
        <v>58</v>
      </c>
    </row>
    <row r="34" spans="1:32" ht="15" thickBot="1" x14ac:dyDescent="0.25">
      <c r="B34" s="21"/>
    </row>
    <row r="35" spans="1:32" s="5" customFormat="1" ht="15.75" thickBot="1" x14ac:dyDescent="0.3">
      <c r="A35" s="11"/>
      <c r="B35" s="5" t="s">
        <v>35</v>
      </c>
      <c r="E35" s="34">
        <f>(E30-E32)*E8</f>
        <v>-54880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x14ac:dyDescent="0.2">
      <c r="B36" s="4" t="s">
        <v>44</v>
      </c>
    </row>
    <row r="38" spans="1:32" x14ac:dyDescent="0.2">
      <c r="B38" s="87" t="s">
        <v>88</v>
      </c>
      <c r="C38" s="88"/>
      <c r="D38" s="88"/>
      <c r="E38" s="88"/>
      <c r="F38" s="88"/>
    </row>
    <row r="39" spans="1:32" x14ac:dyDescent="0.2">
      <c r="B39" s="2"/>
      <c r="C39" s="2"/>
      <c r="D39" s="2"/>
      <c r="E39" s="2"/>
      <c r="F39" s="2"/>
    </row>
    <row r="40" spans="1:32" x14ac:dyDescent="0.2">
      <c r="B40" s="2"/>
      <c r="C40" s="2"/>
      <c r="D40" s="2"/>
      <c r="E40" s="2"/>
      <c r="F40" s="2"/>
    </row>
    <row r="41" spans="1:32" x14ac:dyDescent="0.2">
      <c r="B41" s="2"/>
      <c r="C41" s="2"/>
      <c r="D41" s="2"/>
      <c r="E41" s="2"/>
      <c r="F41" s="2"/>
    </row>
    <row r="42" spans="1:32" x14ac:dyDescent="0.2">
      <c r="B42" s="2"/>
      <c r="C42" s="2"/>
      <c r="D42" s="2"/>
      <c r="E42" s="2"/>
      <c r="F42" s="2"/>
    </row>
    <row r="43" spans="1:32" x14ac:dyDescent="0.2">
      <c r="B43" s="2"/>
      <c r="C43" s="2"/>
      <c r="D43" s="2"/>
      <c r="E43" s="2"/>
      <c r="F43" s="2"/>
    </row>
    <row r="44" spans="1:32" x14ac:dyDescent="0.2">
      <c r="B44" s="2"/>
      <c r="C44" s="2"/>
      <c r="D44" s="2"/>
      <c r="E44" s="2"/>
      <c r="F44" s="2"/>
    </row>
    <row r="45" spans="1:32" x14ac:dyDescent="0.2">
      <c r="B45" s="2"/>
      <c r="C45" s="2"/>
      <c r="D45" s="2"/>
      <c r="E45" s="2"/>
      <c r="F45" s="2"/>
    </row>
    <row r="46" spans="1:32" x14ac:dyDescent="0.2">
      <c r="B46" s="2"/>
      <c r="C46" s="2"/>
      <c r="D46" s="2"/>
      <c r="E46" s="2"/>
      <c r="F46" s="2"/>
    </row>
    <row r="47" spans="1:32" x14ac:dyDescent="0.2">
      <c r="B47" s="2"/>
      <c r="C47" s="2"/>
      <c r="D47" s="2"/>
      <c r="E47" s="2"/>
      <c r="F47" s="2"/>
    </row>
    <row r="48" spans="1:32" x14ac:dyDescent="0.2">
      <c r="B48" s="2"/>
      <c r="C48" s="2"/>
      <c r="D48" s="2"/>
      <c r="E48" s="2"/>
      <c r="F48" s="2"/>
    </row>
    <row r="49" spans="2:6" x14ac:dyDescent="0.2">
      <c r="B49" s="2"/>
      <c r="C49" s="2"/>
      <c r="D49" s="2"/>
      <c r="E49" s="2"/>
      <c r="F49" s="2"/>
    </row>
    <row r="50" spans="2:6" x14ac:dyDescent="0.2">
      <c r="B50" s="2"/>
      <c r="C50" s="2"/>
      <c r="D50" s="2"/>
      <c r="E50" s="2"/>
      <c r="F50" s="2"/>
    </row>
    <row r="51" spans="2:6" x14ac:dyDescent="0.2">
      <c r="B51" s="2"/>
      <c r="C51" s="2"/>
      <c r="D51" s="2"/>
      <c r="E51" s="2"/>
      <c r="F51" s="2"/>
    </row>
    <row r="52" spans="2:6" x14ac:dyDescent="0.2">
      <c r="B52" s="2"/>
      <c r="C52" s="2"/>
      <c r="D52" s="2"/>
      <c r="E52" s="2"/>
      <c r="F52" s="2"/>
    </row>
    <row r="53" spans="2:6" x14ac:dyDescent="0.2">
      <c r="B53" s="2"/>
      <c r="C53" s="2"/>
      <c r="D53" s="2"/>
      <c r="E53" s="2"/>
      <c r="F53" s="2"/>
    </row>
    <row r="54" spans="2:6" x14ac:dyDescent="0.2">
      <c r="B54" s="2"/>
      <c r="C54" s="2"/>
      <c r="D54" s="2"/>
      <c r="E54" s="2"/>
      <c r="F54" s="2"/>
    </row>
    <row r="55" spans="2:6" x14ac:dyDescent="0.2">
      <c r="B55" s="2"/>
      <c r="C55" s="2"/>
      <c r="D55" s="2"/>
      <c r="E55" s="2"/>
      <c r="F55" s="2"/>
    </row>
    <row r="56" spans="2:6" x14ac:dyDescent="0.2">
      <c r="B56" s="2"/>
      <c r="C56" s="2"/>
      <c r="D56" s="2"/>
      <c r="E56" s="2"/>
      <c r="F56" s="2"/>
    </row>
    <row r="57" spans="2:6" x14ac:dyDescent="0.2">
      <c r="B57" s="2"/>
      <c r="C57" s="2"/>
      <c r="D57" s="2"/>
      <c r="E57" s="2"/>
      <c r="F57" s="2"/>
    </row>
    <row r="58" spans="2:6" x14ac:dyDescent="0.2">
      <c r="B58" s="2"/>
      <c r="C58" s="2"/>
      <c r="D58" s="2"/>
      <c r="E58" s="2"/>
      <c r="F58" s="2"/>
    </row>
    <row r="59" spans="2:6" x14ac:dyDescent="0.2">
      <c r="B59" s="2"/>
      <c r="C59" s="2"/>
      <c r="D59" s="2"/>
      <c r="E59" s="2"/>
      <c r="F59" s="2"/>
    </row>
    <row r="60" spans="2:6" x14ac:dyDescent="0.2">
      <c r="B60" s="2"/>
      <c r="C60" s="2"/>
      <c r="D60" s="2"/>
      <c r="E60" s="2"/>
      <c r="F60" s="2"/>
    </row>
    <row r="61" spans="2:6" x14ac:dyDescent="0.2">
      <c r="B61" s="2"/>
      <c r="C61" s="2"/>
      <c r="D61" s="2"/>
      <c r="E61" s="2"/>
      <c r="F61" s="2"/>
    </row>
    <row r="62" spans="2:6" x14ac:dyDescent="0.2">
      <c r="B62" s="2"/>
      <c r="C62" s="2"/>
      <c r="D62" s="2"/>
      <c r="E62" s="2"/>
      <c r="F62" s="2"/>
    </row>
    <row r="63" spans="2:6" x14ac:dyDescent="0.2">
      <c r="B63" s="2"/>
      <c r="C63" s="2"/>
      <c r="D63" s="2"/>
      <c r="E63" s="2"/>
      <c r="F63" s="2"/>
    </row>
    <row r="64" spans="2:6" x14ac:dyDescent="0.2">
      <c r="B64" s="2"/>
      <c r="C64" s="2"/>
      <c r="D64" s="2"/>
      <c r="E64" s="2"/>
      <c r="F64" s="2"/>
    </row>
    <row r="65" spans="2:6" x14ac:dyDescent="0.2">
      <c r="B65" s="2"/>
      <c r="C65" s="2"/>
      <c r="D65" s="2"/>
      <c r="E65" s="2"/>
      <c r="F65" s="2"/>
    </row>
    <row r="66" spans="2:6" x14ac:dyDescent="0.2">
      <c r="B66" s="2"/>
      <c r="C66" s="2"/>
      <c r="D66" s="2"/>
      <c r="E66" s="2"/>
      <c r="F66" s="2"/>
    </row>
    <row r="67" spans="2:6" x14ac:dyDescent="0.2">
      <c r="B67" s="2"/>
      <c r="C67" s="2"/>
      <c r="D67" s="2"/>
      <c r="E67" s="2"/>
      <c r="F67" s="2"/>
    </row>
    <row r="68" spans="2:6" x14ac:dyDescent="0.2">
      <c r="B68" s="2"/>
      <c r="C68" s="2"/>
      <c r="D68" s="2"/>
      <c r="E68" s="2"/>
      <c r="F68" s="2"/>
    </row>
    <row r="69" spans="2:6" x14ac:dyDescent="0.2">
      <c r="B69" s="2"/>
      <c r="C69" s="2"/>
      <c r="D69" s="2"/>
      <c r="E69" s="2"/>
      <c r="F69" s="2"/>
    </row>
    <row r="70" spans="2:6" x14ac:dyDescent="0.2">
      <c r="B70" s="2"/>
      <c r="C70" s="2"/>
      <c r="D70" s="2"/>
      <c r="E70" s="2"/>
      <c r="F70" s="2"/>
    </row>
    <row r="71" spans="2:6" x14ac:dyDescent="0.2">
      <c r="B71" s="2"/>
      <c r="C71" s="2"/>
      <c r="D71" s="2"/>
      <c r="E71" s="2"/>
      <c r="F71" s="2"/>
    </row>
    <row r="72" spans="2:6" x14ac:dyDescent="0.2">
      <c r="B72" s="2"/>
      <c r="C72" s="2"/>
      <c r="D72" s="2"/>
      <c r="E72" s="2"/>
      <c r="F72" s="2"/>
    </row>
    <row r="73" spans="2:6" x14ac:dyDescent="0.2">
      <c r="B73" s="2"/>
      <c r="C73" s="2"/>
      <c r="D73" s="2"/>
      <c r="E73" s="2"/>
      <c r="F73" s="2"/>
    </row>
    <row r="74" spans="2:6" x14ac:dyDescent="0.2">
      <c r="B74" s="2"/>
      <c r="C74" s="2"/>
      <c r="D74" s="2"/>
      <c r="E74" s="2"/>
      <c r="F74" s="2"/>
    </row>
  </sheetData>
  <sheetProtection selectLockedCells="1" selectUnlockedCells="1"/>
  <mergeCells count="2">
    <mergeCell ref="B1:F1"/>
    <mergeCell ref="B38:F38"/>
  </mergeCells>
  <hyperlinks>
    <hyperlink ref="B26" r:id="rId1" display="Fuel - typical consumption figures clike here (page 12)"/>
    <hyperlink ref="B33" r:id="rId2" display="For typical charges click here"/>
    <hyperlink ref="B25" r:id="rId3" location=".VyNmJ032bIU" display="Fuel price £/lt  (click here for price data)"/>
  </hyperlinks>
  <pageMargins left="0.7" right="0.7" top="0.75" bottom="0.75" header="0.3" footer="0.3"/>
  <pageSetup paperSize="9" orientation="portrait" horizontalDpi="4294967293" verticalDpi="4294967293" r:id="rId4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83"/>
  <sheetViews>
    <sheetView workbookViewId="0"/>
  </sheetViews>
  <sheetFormatPr defaultRowHeight="14.25" x14ac:dyDescent="0.2"/>
  <cols>
    <col min="1" max="1" width="9.140625" style="2"/>
    <col min="2" max="2" width="57.85546875" style="4" bestFit="1" customWidth="1"/>
    <col min="3" max="3" width="9.140625" style="4"/>
    <col min="4" max="4" width="20" style="4" customWidth="1"/>
    <col min="5" max="6" width="9.140625" style="4"/>
    <col min="7" max="21" width="9.140625" style="2"/>
    <col min="22" max="16384" width="9.140625" style="4"/>
  </cols>
  <sheetData>
    <row r="1" spans="2:6" s="2" customFormat="1" ht="64.5" customHeight="1" x14ac:dyDescent="0.2">
      <c r="B1" s="85" t="s">
        <v>89</v>
      </c>
      <c r="C1" s="86"/>
      <c r="D1" s="86"/>
      <c r="E1" s="86"/>
      <c r="F1" s="86"/>
    </row>
    <row r="2" spans="2:6" ht="18" x14ac:dyDescent="0.25">
      <c r="B2" s="3"/>
    </row>
    <row r="4" spans="2:6" ht="15" x14ac:dyDescent="0.25">
      <c r="B4" s="5"/>
      <c r="E4" s="6" t="s">
        <v>34</v>
      </c>
    </row>
    <row r="6" spans="2:6" x14ac:dyDescent="0.2">
      <c r="B6" s="4" t="s">
        <v>0</v>
      </c>
      <c r="E6" s="54">
        <v>92751</v>
      </c>
    </row>
    <row r="7" spans="2:6" x14ac:dyDescent="0.2">
      <c r="B7" s="4" t="s">
        <v>1</v>
      </c>
      <c r="C7" s="53">
        <v>7</v>
      </c>
      <c r="D7" s="4" t="s">
        <v>3</v>
      </c>
      <c r="E7" s="54">
        <v>40000</v>
      </c>
    </row>
    <row r="8" spans="2:6" x14ac:dyDescent="0.2">
      <c r="B8" s="4" t="s">
        <v>11</v>
      </c>
      <c r="E8" s="54">
        <v>700</v>
      </c>
    </row>
    <row r="9" spans="2:6" x14ac:dyDescent="0.2">
      <c r="E9" s="7"/>
    </row>
    <row r="10" spans="2:6" ht="15" x14ac:dyDescent="0.25">
      <c r="B10" s="5" t="s">
        <v>36</v>
      </c>
      <c r="E10" s="7"/>
    </row>
    <row r="11" spans="2:6" x14ac:dyDescent="0.2">
      <c r="B11" s="4" t="s">
        <v>45</v>
      </c>
      <c r="E11" s="8">
        <f>(E6+E7)/2</f>
        <v>66375.5</v>
      </c>
    </row>
    <row r="12" spans="2:6" x14ac:dyDescent="0.2">
      <c r="B12" s="4" t="s">
        <v>2</v>
      </c>
      <c r="C12" s="53">
        <v>2</v>
      </c>
      <c r="D12" s="4" t="s">
        <v>4</v>
      </c>
      <c r="E12" s="8">
        <f>(E11*C12)/100</f>
        <v>1327.51</v>
      </c>
    </row>
    <row r="13" spans="2:6" x14ac:dyDescent="0.2">
      <c r="B13" s="4" t="s">
        <v>33</v>
      </c>
      <c r="E13" s="8">
        <f>(E6-E7)/C7</f>
        <v>7535.8571428571431</v>
      </c>
    </row>
    <row r="14" spans="2:6" x14ac:dyDescent="0.2">
      <c r="B14" s="4" t="s">
        <v>5</v>
      </c>
      <c r="C14" s="53">
        <v>2</v>
      </c>
      <c r="D14" s="4" t="s">
        <v>6</v>
      </c>
      <c r="E14" s="8">
        <f>(E6*C14)/100</f>
        <v>1855.02</v>
      </c>
    </row>
    <row r="15" spans="2:6" x14ac:dyDescent="0.2">
      <c r="B15" s="4" t="s">
        <v>47</v>
      </c>
      <c r="C15" s="53">
        <v>1</v>
      </c>
      <c r="D15" s="4" t="s">
        <v>6</v>
      </c>
      <c r="E15" s="8">
        <f>(E6*C15)/100</f>
        <v>927.51</v>
      </c>
    </row>
    <row r="16" spans="2:6" x14ac:dyDescent="0.2">
      <c r="C16" s="9"/>
      <c r="E16" s="10"/>
    </row>
    <row r="17" spans="1:21" s="5" customFormat="1" ht="15" x14ac:dyDescent="0.25">
      <c r="A17" s="11"/>
      <c r="B17" s="5" t="s">
        <v>7</v>
      </c>
      <c r="E17" s="12">
        <f>(E12+E13+E14+E15)</f>
        <v>11645.897142857144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ht="15" thickBot="1" x14ac:dyDescent="0.25">
      <c r="D18" s="13"/>
      <c r="E18" s="14"/>
    </row>
    <row r="19" spans="1:21" s="5" customFormat="1" ht="15.75" thickTop="1" x14ac:dyDescent="0.25">
      <c r="A19" s="11"/>
      <c r="B19" s="5" t="s">
        <v>60</v>
      </c>
      <c r="E19" s="15">
        <f>(E17/E8)</f>
        <v>16.636995918367347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x14ac:dyDescent="0.2">
      <c r="E20" s="7"/>
    </row>
    <row r="21" spans="1:21" ht="15" x14ac:dyDescent="0.25">
      <c r="B21" s="5" t="s">
        <v>39</v>
      </c>
      <c r="E21" s="16"/>
    </row>
    <row r="22" spans="1:21" x14ac:dyDescent="0.2">
      <c r="B22" s="4" t="s">
        <v>41</v>
      </c>
      <c r="C22" s="54">
        <v>4</v>
      </c>
      <c r="D22" s="4" t="s">
        <v>51</v>
      </c>
    </row>
    <row r="23" spans="1:21" ht="15" x14ac:dyDescent="0.25">
      <c r="B23" s="1" t="s">
        <v>54</v>
      </c>
      <c r="C23" s="53">
        <v>14</v>
      </c>
      <c r="D23" s="4" t="s">
        <v>43</v>
      </c>
      <c r="E23" s="18"/>
    </row>
    <row r="24" spans="1:21" x14ac:dyDescent="0.2">
      <c r="B24" s="17" t="s">
        <v>56</v>
      </c>
      <c r="C24" s="53">
        <v>0.6</v>
      </c>
      <c r="D24" s="4" t="s">
        <v>37</v>
      </c>
      <c r="E24" s="18"/>
    </row>
    <row r="25" spans="1:21" s="5" customFormat="1" ht="15" x14ac:dyDescent="0.25">
      <c r="A25" s="11"/>
      <c r="B25" s="19" t="s">
        <v>38</v>
      </c>
      <c r="C25" s="20"/>
      <c r="E25" s="12">
        <f>(C22*C23)*C24</f>
        <v>33.6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 s="5" customFormat="1" ht="15" x14ac:dyDescent="0.25">
      <c r="A26" s="11"/>
      <c r="B26" s="5" t="s">
        <v>9</v>
      </c>
      <c r="C26" s="56">
        <v>1</v>
      </c>
      <c r="D26" s="5" t="s">
        <v>6</v>
      </c>
      <c r="E26" s="12">
        <f>(E6*C26/100)/E8</f>
        <v>1.3250142857142857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 s="5" customFormat="1" ht="15" x14ac:dyDescent="0.25">
      <c r="A27" s="11"/>
      <c r="B27" s="5" t="s">
        <v>40</v>
      </c>
      <c r="E27" s="58">
        <v>14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 s="13" customFormat="1" ht="15" thickBot="1" x14ac:dyDescent="0.25">
      <c r="A28" s="2"/>
      <c r="C28" s="9"/>
      <c r="E28" s="1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s="5" customFormat="1" ht="15.75" thickTop="1" x14ac:dyDescent="0.25">
      <c r="A29" s="11"/>
      <c r="B29" s="5" t="s">
        <v>61</v>
      </c>
      <c r="E29" s="15">
        <f>(E19+E27+E25+E26)</f>
        <v>65.562010204081631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 s="5" customFormat="1" ht="15" x14ac:dyDescent="0.25">
      <c r="A30" s="11"/>
      <c r="E30" s="15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 s="5" customFormat="1" ht="15" x14ac:dyDescent="0.25">
      <c r="A31" s="11"/>
      <c r="B31" s="5" t="s">
        <v>62</v>
      </c>
      <c r="E31" s="58">
        <v>45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 x14ac:dyDescent="0.2">
      <c r="B32" s="21" t="s">
        <v>58</v>
      </c>
      <c r="E32" s="18"/>
    </row>
    <row r="33" spans="1:21" ht="15" thickBot="1" x14ac:dyDescent="0.25">
      <c r="B33" s="21"/>
      <c r="E33" s="18"/>
    </row>
    <row r="34" spans="1:21" s="5" customFormat="1" ht="15.75" thickBot="1" x14ac:dyDescent="0.3">
      <c r="A34" s="11"/>
      <c r="B34" s="5" t="s">
        <v>35</v>
      </c>
      <c r="E34" s="22">
        <f>(E29-E31)*E8</f>
        <v>14393.407142857141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 x14ac:dyDescent="0.2">
      <c r="B35" s="4" t="s">
        <v>44</v>
      </c>
    </row>
    <row r="37" spans="1:21" x14ac:dyDescent="0.2">
      <c r="B37" s="87" t="s">
        <v>88</v>
      </c>
      <c r="C37" s="87"/>
      <c r="D37" s="87"/>
      <c r="E37" s="87"/>
      <c r="F37" s="87"/>
    </row>
    <row r="38" spans="1:21" x14ac:dyDescent="0.2">
      <c r="B38" s="2"/>
      <c r="C38" s="2"/>
      <c r="D38" s="2"/>
      <c r="E38" s="2"/>
      <c r="F38" s="2"/>
    </row>
    <row r="39" spans="1:21" x14ac:dyDescent="0.2">
      <c r="B39" s="2"/>
      <c r="C39" s="2"/>
      <c r="D39" s="2"/>
      <c r="E39" s="2"/>
      <c r="F39" s="2"/>
    </row>
    <row r="40" spans="1:21" x14ac:dyDescent="0.2">
      <c r="B40" s="2"/>
      <c r="C40" s="2"/>
      <c r="D40" s="2"/>
      <c r="E40" s="2"/>
      <c r="F40" s="2"/>
    </row>
    <row r="41" spans="1:21" x14ac:dyDescent="0.2">
      <c r="B41" s="2"/>
      <c r="C41" s="2"/>
      <c r="D41" s="2"/>
      <c r="E41" s="2"/>
      <c r="F41" s="2"/>
    </row>
    <row r="42" spans="1:21" x14ac:dyDescent="0.2">
      <c r="B42" s="2"/>
      <c r="C42" s="2"/>
      <c r="D42" s="2"/>
      <c r="E42" s="2"/>
      <c r="F42" s="2"/>
    </row>
    <row r="43" spans="1:21" x14ac:dyDescent="0.2">
      <c r="B43" s="2"/>
      <c r="C43" s="2"/>
      <c r="D43" s="2"/>
      <c r="E43" s="2"/>
      <c r="F43" s="2"/>
    </row>
    <row r="44" spans="1:21" x14ac:dyDescent="0.2">
      <c r="B44" s="2"/>
      <c r="C44" s="2"/>
      <c r="D44" s="2"/>
      <c r="E44" s="2"/>
      <c r="F44" s="2"/>
    </row>
    <row r="45" spans="1:21" x14ac:dyDescent="0.2">
      <c r="B45" s="2"/>
      <c r="C45" s="2"/>
      <c r="D45" s="2"/>
      <c r="E45" s="2"/>
      <c r="F45" s="2"/>
    </row>
    <row r="46" spans="1:21" x14ac:dyDescent="0.2">
      <c r="B46" s="2"/>
      <c r="C46" s="2"/>
      <c r="D46" s="2"/>
      <c r="E46" s="2"/>
      <c r="F46" s="2"/>
    </row>
    <row r="47" spans="1:21" x14ac:dyDescent="0.2">
      <c r="B47" s="2"/>
      <c r="C47" s="2"/>
      <c r="D47" s="2"/>
      <c r="E47" s="2"/>
      <c r="F47" s="2"/>
    </row>
    <row r="48" spans="1:21" x14ac:dyDescent="0.2">
      <c r="B48" s="2"/>
      <c r="C48" s="2"/>
      <c r="D48" s="2"/>
      <c r="E48" s="2"/>
      <c r="F48" s="2"/>
    </row>
    <row r="49" spans="2:6" x14ac:dyDescent="0.2">
      <c r="B49" s="2"/>
      <c r="C49" s="2"/>
      <c r="D49" s="2"/>
      <c r="E49" s="2"/>
      <c r="F49" s="2"/>
    </row>
    <row r="50" spans="2:6" x14ac:dyDescent="0.2">
      <c r="B50" s="2"/>
      <c r="C50" s="2"/>
      <c r="D50" s="2"/>
      <c r="E50" s="2"/>
      <c r="F50" s="2"/>
    </row>
    <row r="51" spans="2:6" x14ac:dyDescent="0.2">
      <c r="B51" s="2"/>
      <c r="C51" s="2"/>
      <c r="D51" s="2"/>
      <c r="E51" s="2"/>
      <c r="F51" s="2"/>
    </row>
    <row r="52" spans="2:6" x14ac:dyDescent="0.2">
      <c r="B52" s="2"/>
      <c r="C52" s="2"/>
      <c r="D52" s="2"/>
      <c r="E52" s="2"/>
      <c r="F52" s="2"/>
    </row>
    <row r="53" spans="2:6" x14ac:dyDescent="0.2">
      <c r="B53" s="2"/>
      <c r="C53" s="2"/>
      <c r="D53" s="2"/>
      <c r="E53" s="2"/>
      <c r="F53" s="2"/>
    </row>
    <row r="54" spans="2:6" x14ac:dyDescent="0.2">
      <c r="B54" s="2"/>
      <c r="C54" s="2"/>
      <c r="D54" s="2"/>
      <c r="E54" s="2"/>
      <c r="F54" s="2"/>
    </row>
    <row r="55" spans="2:6" x14ac:dyDescent="0.2">
      <c r="B55" s="2"/>
      <c r="C55" s="2"/>
      <c r="D55" s="2"/>
      <c r="E55" s="2"/>
      <c r="F55" s="2"/>
    </row>
    <row r="56" spans="2:6" x14ac:dyDescent="0.2">
      <c r="B56" s="2"/>
      <c r="C56" s="2"/>
      <c r="D56" s="2"/>
      <c r="E56" s="2"/>
      <c r="F56" s="2"/>
    </row>
    <row r="57" spans="2:6" x14ac:dyDescent="0.2">
      <c r="B57" s="2"/>
      <c r="C57" s="2"/>
      <c r="D57" s="2"/>
      <c r="E57" s="2"/>
      <c r="F57" s="2"/>
    </row>
    <row r="58" spans="2:6" x14ac:dyDescent="0.2">
      <c r="B58" s="2"/>
      <c r="C58" s="2"/>
      <c r="D58" s="2"/>
      <c r="E58" s="2"/>
      <c r="F58" s="2"/>
    </row>
    <row r="59" spans="2:6" x14ac:dyDescent="0.2">
      <c r="B59" s="2"/>
      <c r="C59" s="2"/>
      <c r="D59" s="2"/>
      <c r="E59" s="2"/>
      <c r="F59" s="2"/>
    </row>
    <row r="60" spans="2:6" x14ac:dyDescent="0.2">
      <c r="B60" s="2"/>
      <c r="C60" s="2"/>
      <c r="D60" s="2"/>
      <c r="E60" s="2"/>
      <c r="F60" s="2"/>
    </row>
    <row r="61" spans="2:6" x14ac:dyDescent="0.2">
      <c r="B61" s="2"/>
      <c r="C61" s="2"/>
      <c r="D61" s="2"/>
      <c r="E61" s="2"/>
      <c r="F61" s="2"/>
    </row>
    <row r="62" spans="2:6" x14ac:dyDescent="0.2">
      <c r="B62" s="2"/>
      <c r="C62" s="2"/>
      <c r="D62" s="2"/>
      <c r="E62" s="2"/>
      <c r="F62" s="2"/>
    </row>
    <row r="63" spans="2:6" x14ac:dyDescent="0.2">
      <c r="B63" s="2"/>
      <c r="C63" s="2"/>
      <c r="D63" s="2"/>
      <c r="E63" s="2"/>
      <c r="F63" s="2"/>
    </row>
    <row r="64" spans="2:6" x14ac:dyDescent="0.2">
      <c r="B64" s="2"/>
      <c r="C64" s="2"/>
      <c r="D64" s="2"/>
      <c r="E64" s="2"/>
      <c r="F64" s="2"/>
    </row>
    <row r="65" spans="2:6" x14ac:dyDescent="0.2">
      <c r="B65" s="2"/>
      <c r="C65" s="2"/>
      <c r="D65" s="2"/>
      <c r="E65" s="2"/>
      <c r="F65" s="2"/>
    </row>
    <row r="66" spans="2:6" x14ac:dyDescent="0.2">
      <c r="B66" s="2"/>
      <c r="C66" s="2"/>
      <c r="D66" s="2"/>
      <c r="E66" s="2"/>
      <c r="F66" s="2"/>
    </row>
    <row r="67" spans="2:6" x14ac:dyDescent="0.2">
      <c r="B67" s="2"/>
      <c r="C67" s="2"/>
      <c r="D67" s="2"/>
      <c r="E67" s="2"/>
      <c r="F67" s="2"/>
    </row>
    <row r="68" spans="2:6" x14ac:dyDescent="0.2">
      <c r="B68" s="2"/>
      <c r="C68" s="2"/>
      <c r="D68" s="2"/>
      <c r="E68" s="2"/>
      <c r="F68" s="2"/>
    </row>
    <row r="69" spans="2:6" x14ac:dyDescent="0.2">
      <c r="B69" s="2"/>
      <c r="C69" s="2"/>
      <c r="D69" s="2"/>
      <c r="E69" s="2"/>
      <c r="F69" s="2"/>
    </row>
    <row r="70" spans="2:6" x14ac:dyDescent="0.2">
      <c r="B70" s="2"/>
      <c r="C70" s="2"/>
      <c r="D70" s="2"/>
      <c r="E70" s="2"/>
      <c r="F70" s="2"/>
    </row>
    <row r="71" spans="2:6" x14ac:dyDescent="0.2">
      <c r="B71" s="2"/>
      <c r="C71" s="2"/>
      <c r="D71" s="2"/>
      <c r="E71" s="2"/>
      <c r="F71" s="2"/>
    </row>
    <row r="72" spans="2:6" x14ac:dyDescent="0.2">
      <c r="B72" s="2"/>
      <c r="C72" s="2"/>
      <c r="D72" s="2"/>
      <c r="E72" s="2"/>
      <c r="F72" s="2"/>
    </row>
    <row r="73" spans="2:6" x14ac:dyDescent="0.2">
      <c r="B73" s="2"/>
      <c r="C73" s="2"/>
      <c r="D73" s="2"/>
      <c r="E73" s="2"/>
      <c r="F73" s="2"/>
    </row>
    <row r="74" spans="2:6" x14ac:dyDescent="0.2">
      <c r="B74" s="2"/>
      <c r="C74" s="2"/>
      <c r="D74" s="2"/>
      <c r="E74" s="2"/>
      <c r="F74" s="2"/>
    </row>
    <row r="75" spans="2:6" x14ac:dyDescent="0.2">
      <c r="B75" s="2"/>
      <c r="C75" s="2"/>
      <c r="D75" s="2"/>
      <c r="E75" s="2"/>
      <c r="F75" s="2"/>
    </row>
    <row r="76" spans="2:6" x14ac:dyDescent="0.2">
      <c r="B76" s="2"/>
      <c r="C76" s="2"/>
      <c r="D76" s="2"/>
      <c r="E76" s="2"/>
      <c r="F76" s="2"/>
    </row>
    <row r="77" spans="2:6" x14ac:dyDescent="0.2">
      <c r="B77" s="2"/>
      <c r="C77" s="2"/>
      <c r="D77" s="2"/>
      <c r="E77" s="2"/>
      <c r="F77" s="2"/>
    </row>
    <row r="78" spans="2:6" x14ac:dyDescent="0.2">
      <c r="B78" s="2"/>
      <c r="C78" s="2"/>
      <c r="D78" s="2"/>
      <c r="E78" s="2"/>
      <c r="F78" s="2"/>
    </row>
    <row r="79" spans="2:6" x14ac:dyDescent="0.2">
      <c r="B79" s="2"/>
      <c r="C79" s="2"/>
      <c r="D79" s="2"/>
      <c r="E79" s="2"/>
      <c r="F79" s="2"/>
    </row>
    <row r="80" spans="2:6" x14ac:dyDescent="0.2">
      <c r="B80" s="2"/>
      <c r="C80" s="2"/>
      <c r="D80" s="2"/>
      <c r="E80" s="2"/>
      <c r="F80" s="2"/>
    </row>
    <row r="81" spans="2:6" x14ac:dyDescent="0.2">
      <c r="B81" s="2"/>
      <c r="C81" s="2"/>
      <c r="D81" s="2"/>
      <c r="E81" s="2"/>
      <c r="F81" s="2"/>
    </row>
    <row r="82" spans="2:6" x14ac:dyDescent="0.2">
      <c r="B82" s="2"/>
      <c r="C82" s="2"/>
      <c r="D82" s="2"/>
      <c r="E82" s="2"/>
      <c r="F82" s="2"/>
    </row>
    <row r="83" spans="2:6" x14ac:dyDescent="0.2">
      <c r="B83" s="2"/>
      <c r="C83" s="2"/>
      <c r="D83" s="2"/>
      <c r="E83" s="2"/>
      <c r="F83" s="2"/>
    </row>
  </sheetData>
  <mergeCells count="2">
    <mergeCell ref="B1:F1"/>
    <mergeCell ref="B37:F37"/>
  </mergeCells>
  <hyperlinks>
    <hyperlink ref="B24" r:id="rId1" display="Fuel - typical consumption figures clike here (page 12)"/>
    <hyperlink ref="B23" r:id="rId2" location=".VyNmJ032bIU" display="Fuel price £/lt  (click here for price data)"/>
    <hyperlink ref="B32" r:id="rId3" display="For typical charges click here"/>
  </hyperlinks>
  <pageMargins left="0.7" right="0.7" top="0.75" bottom="0.75" header="0.3" footer="0.3"/>
  <pageSetup paperSize="9" orientation="portrait" r:id="rId4"/>
  <drawing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37"/>
  <sheetViews>
    <sheetView workbookViewId="0"/>
  </sheetViews>
  <sheetFormatPr defaultRowHeight="14.25" x14ac:dyDescent="0.2"/>
  <cols>
    <col min="1" max="1" width="9.140625" style="2"/>
    <col min="2" max="2" width="45.7109375" style="4" customWidth="1"/>
    <col min="3" max="3" width="25.28515625" style="4" customWidth="1"/>
    <col min="4" max="4" width="23.85546875" style="4" customWidth="1"/>
    <col min="5" max="5" width="8.28515625" style="4" customWidth="1"/>
    <col min="6" max="21" width="9.140625" style="2"/>
    <col min="22" max="16384" width="9.140625" style="4"/>
  </cols>
  <sheetData>
    <row r="1" spans="2:5" s="2" customFormat="1" ht="66" customHeight="1" x14ac:dyDescent="0.2">
      <c r="B1" s="85" t="s">
        <v>90</v>
      </c>
      <c r="C1" s="89"/>
      <c r="D1" s="89"/>
      <c r="E1" s="89"/>
    </row>
    <row r="2" spans="2:5" ht="20.25" x14ac:dyDescent="0.3">
      <c r="B2" s="35"/>
    </row>
    <row r="5" spans="2:5" x14ac:dyDescent="0.2">
      <c r="B5" s="36"/>
      <c r="C5" s="37" t="s">
        <v>12</v>
      </c>
      <c r="D5" s="37" t="s">
        <v>12</v>
      </c>
    </row>
    <row r="6" spans="2:5" x14ac:dyDescent="0.2">
      <c r="C6" s="37" t="s">
        <v>13</v>
      </c>
      <c r="D6" s="37" t="s">
        <v>14</v>
      </c>
    </row>
    <row r="7" spans="2:5" ht="15" x14ac:dyDescent="0.25">
      <c r="B7" s="36" t="s">
        <v>66</v>
      </c>
      <c r="C7" s="38"/>
      <c r="D7" s="38"/>
    </row>
    <row r="8" spans="2:5" x14ac:dyDescent="0.2">
      <c r="B8" s="4" t="s">
        <v>27</v>
      </c>
      <c r="C8" s="59">
        <v>4</v>
      </c>
      <c r="D8" s="59">
        <v>30</v>
      </c>
    </row>
    <row r="9" spans="2:5" x14ac:dyDescent="0.2">
      <c r="B9" s="4" t="s">
        <v>63</v>
      </c>
      <c r="C9" s="59">
        <v>800</v>
      </c>
      <c r="D9" s="59">
        <v>2000</v>
      </c>
    </row>
    <row r="10" spans="2:5" x14ac:dyDescent="0.2">
      <c r="B10" s="4" t="s">
        <v>68</v>
      </c>
      <c r="C10" s="59">
        <v>6</v>
      </c>
      <c r="D10" s="59">
        <v>12</v>
      </c>
    </row>
    <row r="11" spans="2:5" x14ac:dyDescent="0.2">
      <c r="B11" s="4" t="s">
        <v>15</v>
      </c>
      <c r="C11" s="59">
        <v>180</v>
      </c>
      <c r="D11" s="59">
        <v>250</v>
      </c>
    </row>
    <row r="12" spans="2:5" x14ac:dyDescent="0.2">
      <c r="B12" s="4" t="s">
        <v>64</v>
      </c>
      <c r="C12" s="59">
        <v>5</v>
      </c>
      <c r="D12" s="59">
        <v>5</v>
      </c>
    </row>
    <row r="13" spans="2:5" x14ac:dyDescent="0.2">
      <c r="B13" s="4" t="s">
        <v>65</v>
      </c>
      <c r="C13" s="59">
        <v>10</v>
      </c>
      <c r="D13" s="59">
        <v>10</v>
      </c>
    </row>
    <row r="14" spans="2:5" x14ac:dyDescent="0.2">
      <c r="B14" s="4" t="s">
        <v>16</v>
      </c>
      <c r="C14" s="59">
        <v>65</v>
      </c>
      <c r="D14" s="59">
        <v>75</v>
      </c>
    </row>
    <row r="16" spans="2:5" x14ac:dyDescent="0.2">
      <c r="B16" s="36"/>
    </row>
    <row r="17" spans="2:6" x14ac:dyDescent="0.2">
      <c r="B17" s="36" t="s">
        <v>17</v>
      </c>
    </row>
    <row r="18" spans="2:6" x14ac:dyDescent="0.2">
      <c r="B18" s="4" t="s">
        <v>18</v>
      </c>
      <c r="C18" s="42">
        <f>(C9/C11)</f>
        <v>4.4444444444444446</v>
      </c>
      <c r="D18" s="42">
        <v>5</v>
      </c>
      <c r="E18" s="39"/>
      <c r="F18" s="40"/>
    </row>
    <row r="19" spans="2:6" x14ac:dyDescent="0.2">
      <c r="B19" s="4" t="s">
        <v>67</v>
      </c>
      <c r="C19" s="42">
        <f>(C9/C13)</f>
        <v>80</v>
      </c>
      <c r="D19" s="42">
        <f>D9/D13</f>
        <v>200</v>
      </c>
      <c r="E19" s="39"/>
      <c r="F19" s="41"/>
    </row>
    <row r="20" spans="2:6" x14ac:dyDescent="0.2">
      <c r="B20" s="4" t="s">
        <v>69</v>
      </c>
      <c r="C20" s="42">
        <f>(C8*C10/10)</f>
        <v>2.4</v>
      </c>
      <c r="D20" s="42">
        <f>D8*D10/10</f>
        <v>36</v>
      </c>
    </row>
    <row r="21" spans="2:6" x14ac:dyDescent="0.2">
      <c r="B21" s="4" t="s">
        <v>19</v>
      </c>
      <c r="C21" s="42">
        <f>(C13+2*C12)+(6000*C18)/(C20*C14)</f>
        <v>190.94017094017096</v>
      </c>
      <c r="D21" s="42">
        <f>D13+2*D12+(6000*D18)/(D20*D14)</f>
        <v>31.111111111111111</v>
      </c>
    </row>
    <row r="22" spans="2:6" x14ac:dyDescent="0.2">
      <c r="B22" s="4" t="s">
        <v>70</v>
      </c>
      <c r="C22" s="42">
        <f>(60*C18/C21)</f>
        <v>1.3965980304386749</v>
      </c>
      <c r="D22" s="42">
        <f>60*D18/D21</f>
        <v>9.6428571428571423</v>
      </c>
    </row>
    <row r="23" spans="2:6" x14ac:dyDescent="0.2">
      <c r="B23" s="4" t="s">
        <v>20</v>
      </c>
      <c r="C23" s="42">
        <f>100*C22/C20</f>
        <v>58.19158460161146</v>
      </c>
      <c r="D23" s="42">
        <f>100*D22/D20</f>
        <v>26.785714285714285</v>
      </c>
    </row>
    <row r="24" spans="2:6" x14ac:dyDescent="0.2">
      <c r="C24" s="84"/>
      <c r="D24" s="84"/>
    </row>
    <row r="25" spans="2:6" x14ac:dyDescent="0.2">
      <c r="B25" s="36" t="s">
        <v>21</v>
      </c>
      <c r="C25" s="84"/>
      <c r="D25" s="84"/>
    </row>
    <row r="26" spans="2:6" x14ac:dyDescent="0.2">
      <c r="B26" s="4" t="s">
        <v>22</v>
      </c>
      <c r="C26" s="42">
        <f>6000*C18/(C20*C14)</f>
        <v>170.94017094017096</v>
      </c>
      <c r="D26" s="42">
        <f>6000*D18/(D20*D14)</f>
        <v>11.111111111111111</v>
      </c>
    </row>
    <row r="27" spans="2:6" x14ac:dyDescent="0.2">
      <c r="B27" s="4" t="s">
        <v>23</v>
      </c>
      <c r="C27" s="42">
        <f>100*C26/C21</f>
        <v>89.52551477170995</v>
      </c>
      <c r="D27" s="42">
        <f>100*D26/D21</f>
        <v>35.714285714285715</v>
      </c>
    </row>
    <row r="28" spans="2:6" x14ac:dyDescent="0.2">
      <c r="B28" s="4" t="s">
        <v>24</v>
      </c>
      <c r="C28" s="42">
        <f>C13</f>
        <v>10</v>
      </c>
      <c r="D28" s="42">
        <f>D13</f>
        <v>10</v>
      </c>
    </row>
    <row r="29" spans="2:6" x14ac:dyDescent="0.2">
      <c r="B29" s="4" t="s">
        <v>71</v>
      </c>
      <c r="C29" s="42">
        <f>100*C28/C21</f>
        <v>5.237242614145031</v>
      </c>
      <c r="D29" s="42">
        <f>100*D28/D21</f>
        <v>32.142857142857146</v>
      </c>
    </row>
    <row r="30" spans="2:6" x14ac:dyDescent="0.2">
      <c r="B30" s="4" t="s">
        <v>25</v>
      </c>
      <c r="C30" s="42">
        <f>2*C12</f>
        <v>10</v>
      </c>
      <c r="D30" s="42">
        <f>2*D12</f>
        <v>10</v>
      </c>
    </row>
    <row r="31" spans="2:6" x14ac:dyDescent="0.2">
      <c r="B31" s="4" t="s">
        <v>26</v>
      </c>
      <c r="C31" s="42">
        <f>100*C30/C21</f>
        <v>5.237242614145031</v>
      </c>
      <c r="D31" s="42">
        <f>100*D30/D21</f>
        <v>32.142857142857146</v>
      </c>
    </row>
    <row r="33" spans="2:5" x14ac:dyDescent="0.2">
      <c r="B33" s="87" t="s">
        <v>88</v>
      </c>
      <c r="C33" s="87"/>
      <c r="D33" s="87"/>
      <c r="E33" s="87"/>
    </row>
    <row r="34" spans="2:5" x14ac:dyDescent="0.2">
      <c r="B34" s="2"/>
      <c r="C34" s="2"/>
      <c r="D34" s="2"/>
      <c r="E34" s="2"/>
    </row>
    <row r="35" spans="2:5" x14ac:dyDescent="0.2">
      <c r="B35" s="2"/>
      <c r="C35" s="2"/>
      <c r="D35" s="2"/>
      <c r="E35" s="2"/>
    </row>
    <row r="36" spans="2:5" x14ac:dyDescent="0.2">
      <c r="B36" s="2"/>
      <c r="C36" s="2"/>
      <c r="D36" s="2"/>
      <c r="E36" s="2"/>
    </row>
    <row r="37" spans="2:5" x14ac:dyDescent="0.2">
      <c r="B37" s="2"/>
      <c r="C37" s="2"/>
      <c r="D37" s="2"/>
      <c r="E37" s="2"/>
    </row>
    <row r="38" spans="2:5" x14ac:dyDescent="0.2">
      <c r="B38" s="2"/>
      <c r="C38" s="2"/>
      <c r="D38" s="2"/>
      <c r="E38" s="2"/>
    </row>
    <row r="39" spans="2:5" x14ac:dyDescent="0.2">
      <c r="B39" s="2"/>
      <c r="C39" s="2"/>
      <c r="D39" s="2"/>
      <c r="E39" s="2"/>
    </row>
    <row r="40" spans="2:5" x14ac:dyDescent="0.2">
      <c r="B40" s="2"/>
      <c r="C40" s="2"/>
      <c r="D40" s="2"/>
      <c r="E40" s="2"/>
    </row>
    <row r="41" spans="2:5" x14ac:dyDescent="0.2">
      <c r="B41" s="2"/>
      <c r="C41" s="2"/>
      <c r="D41" s="2"/>
      <c r="E41" s="2"/>
    </row>
    <row r="42" spans="2:5" x14ac:dyDescent="0.2">
      <c r="B42" s="2"/>
      <c r="C42" s="2"/>
      <c r="D42" s="2"/>
      <c r="E42" s="2"/>
    </row>
    <row r="43" spans="2:5" x14ac:dyDescent="0.2">
      <c r="B43" s="2"/>
      <c r="C43" s="2"/>
      <c r="D43" s="2"/>
      <c r="E43" s="2"/>
    </row>
    <row r="44" spans="2:5" x14ac:dyDescent="0.2">
      <c r="B44" s="2"/>
      <c r="C44" s="2"/>
      <c r="D44" s="2"/>
      <c r="E44" s="2"/>
    </row>
    <row r="45" spans="2:5" x14ac:dyDescent="0.2">
      <c r="B45" s="2"/>
      <c r="C45" s="2"/>
      <c r="D45" s="2"/>
      <c r="E45" s="2"/>
    </row>
    <row r="46" spans="2:5" x14ac:dyDescent="0.2">
      <c r="B46" s="2"/>
      <c r="C46" s="2"/>
      <c r="D46" s="2"/>
      <c r="E46" s="2"/>
    </row>
    <row r="47" spans="2:5" x14ac:dyDescent="0.2">
      <c r="B47" s="2"/>
      <c r="C47" s="2"/>
      <c r="D47" s="2"/>
      <c r="E47" s="2"/>
    </row>
    <row r="48" spans="2:5" x14ac:dyDescent="0.2">
      <c r="B48" s="2"/>
      <c r="C48" s="2"/>
      <c r="D48" s="2"/>
      <c r="E48" s="2"/>
    </row>
    <row r="49" spans="2:5" x14ac:dyDescent="0.2">
      <c r="B49" s="2"/>
      <c r="C49" s="2"/>
      <c r="D49" s="2"/>
      <c r="E49" s="2"/>
    </row>
    <row r="50" spans="2:5" x14ac:dyDescent="0.2">
      <c r="B50" s="2"/>
      <c r="C50" s="2"/>
      <c r="D50" s="2"/>
      <c r="E50" s="2"/>
    </row>
    <row r="51" spans="2:5" x14ac:dyDescent="0.2">
      <c r="B51" s="2"/>
      <c r="C51" s="2"/>
      <c r="D51" s="2"/>
      <c r="E51" s="2"/>
    </row>
    <row r="52" spans="2:5" x14ac:dyDescent="0.2">
      <c r="B52" s="2"/>
      <c r="C52" s="2"/>
      <c r="D52" s="2"/>
      <c r="E52" s="2"/>
    </row>
    <row r="53" spans="2:5" x14ac:dyDescent="0.2">
      <c r="B53" s="2"/>
      <c r="C53" s="2"/>
      <c r="D53" s="2"/>
      <c r="E53" s="2"/>
    </row>
    <row r="54" spans="2:5" x14ac:dyDescent="0.2">
      <c r="B54" s="2"/>
      <c r="C54" s="2"/>
      <c r="D54" s="2"/>
      <c r="E54" s="2"/>
    </row>
    <row r="55" spans="2:5" x14ac:dyDescent="0.2">
      <c r="B55" s="2"/>
      <c r="C55" s="2"/>
      <c r="D55" s="2"/>
      <c r="E55" s="2"/>
    </row>
    <row r="56" spans="2:5" x14ac:dyDescent="0.2">
      <c r="B56" s="2"/>
      <c r="C56" s="2"/>
      <c r="D56" s="2"/>
      <c r="E56" s="2"/>
    </row>
    <row r="57" spans="2:5" x14ac:dyDescent="0.2">
      <c r="B57" s="2"/>
      <c r="C57" s="2"/>
      <c r="D57" s="2"/>
      <c r="E57" s="2"/>
    </row>
    <row r="58" spans="2:5" x14ac:dyDescent="0.2">
      <c r="B58" s="2"/>
      <c r="C58" s="2"/>
      <c r="D58" s="2"/>
      <c r="E58" s="2"/>
    </row>
    <row r="59" spans="2:5" x14ac:dyDescent="0.2">
      <c r="B59" s="2"/>
      <c r="C59" s="2"/>
      <c r="D59" s="2"/>
      <c r="E59" s="2"/>
    </row>
    <row r="60" spans="2:5" x14ac:dyDescent="0.2">
      <c r="B60" s="2"/>
      <c r="C60" s="2"/>
      <c r="D60" s="2"/>
      <c r="E60" s="2"/>
    </row>
    <row r="61" spans="2:5" x14ac:dyDescent="0.2">
      <c r="B61" s="2"/>
      <c r="C61" s="2"/>
      <c r="D61" s="2"/>
      <c r="E61" s="2"/>
    </row>
    <row r="62" spans="2:5" x14ac:dyDescent="0.2">
      <c r="B62" s="2"/>
      <c r="C62" s="2"/>
      <c r="D62" s="2"/>
      <c r="E62" s="2"/>
    </row>
    <row r="63" spans="2:5" x14ac:dyDescent="0.2">
      <c r="B63" s="2"/>
      <c r="C63" s="2"/>
      <c r="D63" s="2"/>
      <c r="E63" s="2"/>
    </row>
    <row r="64" spans="2:5" x14ac:dyDescent="0.2">
      <c r="B64" s="2"/>
      <c r="C64" s="2"/>
      <c r="D64" s="2"/>
      <c r="E64" s="2"/>
    </row>
    <row r="65" spans="2:5" x14ac:dyDescent="0.2">
      <c r="B65" s="2"/>
      <c r="C65" s="2"/>
      <c r="D65" s="2"/>
      <c r="E65" s="2"/>
    </row>
    <row r="66" spans="2:5" x14ac:dyDescent="0.2">
      <c r="B66" s="2"/>
      <c r="C66" s="2"/>
      <c r="D66" s="2"/>
      <c r="E66" s="2"/>
    </row>
    <row r="67" spans="2:5" x14ac:dyDescent="0.2">
      <c r="B67" s="2"/>
      <c r="C67" s="2"/>
      <c r="D67" s="2"/>
      <c r="E67" s="2"/>
    </row>
    <row r="68" spans="2:5" x14ac:dyDescent="0.2">
      <c r="B68" s="2"/>
      <c r="C68" s="2"/>
      <c r="D68" s="2"/>
      <c r="E68" s="2"/>
    </row>
    <row r="69" spans="2:5" x14ac:dyDescent="0.2">
      <c r="B69" s="2"/>
      <c r="C69" s="2"/>
      <c r="D69" s="2"/>
      <c r="E69" s="2"/>
    </row>
    <row r="70" spans="2:5" x14ac:dyDescent="0.2">
      <c r="B70" s="2"/>
      <c r="C70" s="2"/>
      <c r="D70" s="2"/>
      <c r="E70" s="2"/>
    </row>
    <row r="71" spans="2:5" x14ac:dyDescent="0.2">
      <c r="B71" s="2"/>
      <c r="C71" s="2"/>
      <c r="D71" s="2"/>
      <c r="E71" s="2"/>
    </row>
    <row r="72" spans="2:5" x14ac:dyDescent="0.2">
      <c r="B72" s="2"/>
      <c r="C72" s="2"/>
      <c r="D72" s="2"/>
      <c r="E72" s="2"/>
    </row>
    <row r="73" spans="2:5" x14ac:dyDescent="0.2">
      <c r="B73" s="2"/>
      <c r="C73" s="2"/>
      <c r="D73" s="2"/>
      <c r="E73" s="2"/>
    </row>
    <row r="74" spans="2:5" x14ac:dyDescent="0.2">
      <c r="B74" s="2"/>
      <c r="C74" s="2"/>
      <c r="D74" s="2"/>
      <c r="E74" s="2"/>
    </row>
    <row r="75" spans="2:5" x14ac:dyDescent="0.2">
      <c r="B75" s="2"/>
      <c r="C75" s="2"/>
      <c r="D75" s="2"/>
      <c r="E75" s="2"/>
    </row>
    <row r="76" spans="2:5" x14ac:dyDescent="0.2">
      <c r="B76" s="2"/>
      <c r="C76" s="2"/>
      <c r="D76" s="2"/>
      <c r="E76" s="2"/>
    </row>
    <row r="77" spans="2:5" x14ac:dyDescent="0.2">
      <c r="B77" s="2"/>
      <c r="C77" s="2"/>
      <c r="D77" s="2"/>
      <c r="E77" s="2"/>
    </row>
    <row r="78" spans="2:5" x14ac:dyDescent="0.2">
      <c r="B78" s="2"/>
      <c r="C78" s="2"/>
      <c r="D78" s="2"/>
      <c r="E78" s="2"/>
    </row>
    <row r="79" spans="2:5" x14ac:dyDescent="0.2">
      <c r="B79" s="2"/>
      <c r="C79" s="2"/>
      <c r="D79" s="2"/>
      <c r="E79" s="2"/>
    </row>
    <row r="80" spans="2:5" x14ac:dyDescent="0.2">
      <c r="B80" s="2"/>
      <c r="C80" s="2"/>
      <c r="D80" s="2"/>
      <c r="E80" s="2"/>
    </row>
    <row r="81" spans="2:5" x14ac:dyDescent="0.2">
      <c r="B81" s="2"/>
      <c r="C81" s="2"/>
      <c r="D81" s="2"/>
      <c r="E81" s="2"/>
    </row>
    <row r="82" spans="2:5" x14ac:dyDescent="0.2">
      <c r="B82" s="2"/>
      <c r="C82" s="2"/>
      <c r="D82" s="2"/>
      <c r="E82" s="2"/>
    </row>
    <row r="83" spans="2:5" x14ac:dyDescent="0.2">
      <c r="B83" s="2"/>
      <c r="C83" s="2"/>
      <c r="D83" s="2"/>
      <c r="E83" s="2"/>
    </row>
    <row r="84" spans="2:5" x14ac:dyDescent="0.2">
      <c r="B84" s="2"/>
      <c r="C84" s="2"/>
      <c r="D84" s="2"/>
      <c r="E84" s="2"/>
    </row>
    <row r="85" spans="2:5" x14ac:dyDescent="0.2">
      <c r="B85" s="2"/>
      <c r="C85" s="2"/>
      <c r="D85" s="2"/>
      <c r="E85" s="2"/>
    </row>
    <row r="86" spans="2:5" x14ac:dyDescent="0.2">
      <c r="B86" s="2"/>
      <c r="C86" s="2"/>
      <c r="D86" s="2"/>
      <c r="E86" s="2"/>
    </row>
    <row r="87" spans="2:5" x14ac:dyDescent="0.2">
      <c r="B87" s="2"/>
      <c r="C87" s="2"/>
      <c r="D87" s="2"/>
      <c r="E87" s="2"/>
    </row>
    <row r="88" spans="2:5" x14ac:dyDescent="0.2">
      <c r="B88" s="2"/>
      <c r="C88" s="2"/>
      <c r="D88" s="2"/>
      <c r="E88" s="2"/>
    </row>
    <row r="89" spans="2:5" x14ac:dyDescent="0.2">
      <c r="B89" s="2"/>
      <c r="C89" s="2"/>
      <c r="D89" s="2"/>
      <c r="E89" s="2"/>
    </row>
    <row r="90" spans="2:5" x14ac:dyDescent="0.2">
      <c r="B90" s="2"/>
      <c r="C90" s="2"/>
      <c r="D90" s="2"/>
      <c r="E90" s="2"/>
    </row>
    <row r="91" spans="2:5" x14ac:dyDescent="0.2">
      <c r="B91" s="2"/>
      <c r="C91" s="2"/>
      <c r="D91" s="2"/>
      <c r="E91" s="2"/>
    </row>
    <row r="92" spans="2:5" x14ac:dyDescent="0.2">
      <c r="B92" s="2"/>
      <c r="C92" s="2"/>
      <c r="D92" s="2"/>
      <c r="E92" s="2"/>
    </row>
    <row r="93" spans="2:5" x14ac:dyDescent="0.2">
      <c r="B93" s="2"/>
      <c r="C93" s="2"/>
      <c r="D93" s="2"/>
      <c r="E93" s="2"/>
    </row>
    <row r="94" spans="2:5" x14ac:dyDescent="0.2">
      <c r="B94" s="2"/>
      <c r="C94" s="2"/>
      <c r="D94" s="2"/>
      <c r="E94" s="2"/>
    </row>
    <row r="95" spans="2:5" x14ac:dyDescent="0.2">
      <c r="B95" s="2"/>
      <c r="C95" s="2"/>
      <c r="D95" s="2"/>
      <c r="E95" s="2"/>
    </row>
    <row r="96" spans="2:5" x14ac:dyDescent="0.2">
      <c r="B96" s="2"/>
      <c r="C96" s="2"/>
      <c r="D96" s="2"/>
      <c r="E96" s="2"/>
    </row>
    <row r="97" spans="2:5" x14ac:dyDescent="0.2">
      <c r="B97" s="2"/>
      <c r="C97" s="2"/>
      <c r="D97" s="2"/>
      <c r="E97" s="2"/>
    </row>
    <row r="98" spans="2:5" x14ac:dyDescent="0.2">
      <c r="B98" s="2"/>
      <c r="C98" s="2"/>
      <c r="D98" s="2"/>
      <c r="E98" s="2"/>
    </row>
    <row r="99" spans="2:5" x14ac:dyDescent="0.2">
      <c r="B99" s="2"/>
      <c r="C99" s="2"/>
      <c r="D99" s="2"/>
      <c r="E99" s="2"/>
    </row>
    <row r="100" spans="2:5" x14ac:dyDescent="0.2">
      <c r="B100" s="2"/>
      <c r="C100" s="2"/>
      <c r="D100" s="2"/>
      <c r="E100" s="2"/>
    </row>
    <row r="101" spans="2:5" x14ac:dyDescent="0.2">
      <c r="B101" s="2"/>
      <c r="C101" s="2"/>
      <c r="D101" s="2"/>
      <c r="E101" s="2"/>
    </row>
    <row r="102" spans="2:5" x14ac:dyDescent="0.2">
      <c r="B102" s="2"/>
      <c r="C102" s="2"/>
      <c r="D102" s="2"/>
      <c r="E102" s="2"/>
    </row>
    <row r="103" spans="2:5" x14ac:dyDescent="0.2">
      <c r="B103" s="2"/>
      <c r="C103" s="2"/>
      <c r="D103" s="2"/>
      <c r="E103" s="2"/>
    </row>
    <row r="104" spans="2:5" x14ac:dyDescent="0.2">
      <c r="B104" s="2"/>
      <c r="C104" s="2"/>
      <c r="D104" s="2"/>
      <c r="E104" s="2"/>
    </row>
    <row r="105" spans="2:5" x14ac:dyDescent="0.2">
      <c r="B105" s="2"/>
      <c r="C105" s="2"/>
      <c r="D105" s="2"/>
      <c r="E105" s="2"/>
    </row>
    <row r="106" spans="2:5" x14ac:dyDescent="0.2">
      <c r="B106" s="2"/>
      <c r="C106" s="2"/>
      <c r="D106" s="2"/>
      <c r="E106" s="2"/>
    </row>
    <row r="107" spans="2:5" x14ac:dyDescent="0.2">
      <c r="B107" s="2"/>
      <c r="C107" s="2"/>
      <c r="D107" s="2"/>
      <c r="E107" s="2"/>
    </row>
    <row r="108" spans="2:5" x14ac:dyDescent="0.2">
      <c r="B108" s="2"/>
      <c r="C108" s="2"/>
      <c r="D108" s="2"/>
      <c r="E108" s="2"/>
    </row>
    <row r="109" spans="2:5" x14ac:dyDescent="0.2">
      <c r="B109" s="2"/>
      <c r="C109" s="2"/>
      <c r="D109" s="2"/>
      <c r="E109" s="2"/>
    </row>
    <row r="110" spans="2:5" x14ac:dyDescent="0.2">
      <c r="B110" s="2"/>
      <c r="C110" s="2"/>
      <c r="D110" s="2"/>
      <c r="E110" s="2"/>
    </row>
    <row r="111" spans="2:5" x14ac:dyDescent="0.2">
      <c r="B111" s="2"/>
      <c r="C111" s="2"/>
      <c r="D111" s="2"/>
      <c r="E111" s="2"/>
    </row>
    <row r="112" spans="2:5" x14ac:dyDescent="0.2">
      <c r="B112" s="2"/>
      <c r="C112" s="2"/>
      <c r="D112" s="2"/>
      <c r="E112" s="2"/>
    </row>
    <row r="113" spans="2:5" x14ac:dyDescent="0.2">
      <c r="B113" s="2"/>
      <c r="C113" s="2"/>
      <c r="D113" s="2"/>
      <c r="E113" s="2"/>
    </row>
    <row r="114" spans="2:5" x14ac:dyDescent="0.2">
      <c r="B114" s="2"/>
      <c r="C114" s="2"/>
      <c r="D114" s="2"/>
      <c r="E114" s="2"/>
    </row>
    <row r="115" spans="2:5" x14ac:dyDescent="0.2">
      <c r="B115" s="2"/>
      <c r="C115" s="2"/>
      <c r="D115" s="2"/>
      <c r="E115" s="2"/>
    </row>
    <row r="116" spans="2:5" x14ac:dyDescent="0.2">
      <c r="B116" s="2"/>
      <c r="C116" s="2"/>
      <c r="D116" s="2"/>
      <c r="E116" s="2"/>
    </row>
    <row r="117" spans="2:5" x14ac:dyDescent="0.2">
      <c r="B117" s="2"/>
      <c r="C117" s="2"/>
      <c r="D117" s="2"/>
      <c r="E117" s="2"/>
    </row>
    <row r="118" spans="2:5" x14ac:dyDescent="0.2">
      <c r="B118" s="2"/>
      <c r="C118" s="2"/>
      <c r="D118" s="2"/>
      <c r="E118" s="2"/>
    </row>
    <row r="119" spans="2:5" x14ac:dyDescent="0.2">
      <c r="B119" s="2"/>
      <c r="C119" s="2"/>
      <c r="D119" s="2"/>
      <c r="E119" s="2"/>
    </row>
    <row r="120" spans="2:5" x14ac:dyDescent="0.2">
      <c r="B120" s="2"/>
      <c r="C120" s="2"/>
      <c r="D120" s="2"/>
      <c r="E120" s="2"/>
    </row>
    <row r="121" spans="2:5" x14ac:dyDescent="0.2">
      <c r="B121" s="2"/>
      <c r="C121" s="2"/>
      <c r="D121" s="2"/>
      <c r="E121" s="2"/>
    </row>
    <row r="122" spans="2:5" x14ac:dyDescent="0.2">
      <c r="B122" s="2"/>
      <c r="C122" s="2"/>
      <c r="D122" s="2"/>
      <c r="E122" s="2"/>
    </row>
    <row r="123" spans="2:5" x14ac:dyDescent="0.2">
      <c r="B123" s="2"/>
      <c r="C123" s="2"/>
      <c r="D123" s="2"/>
      <c r="E123" s="2"/>
    </row>
    <row r="124" spans="2:5" x14ac:dyDescent="0.2">
      <c r="B124" s="2"/>
      <c r="C124" s="2"/>
      <c r="D124" s="2"/>
      <c r="E124" s="2"/>
    </row>
    <row r="125" spans="2:5" x14ac:dyDescent="0.2">
      <c r="B125" s="2"/>
      <c r="C125" s="2"/>
      <c r="D125" s="2"/>
      <c r="E125" s="2"/>
    </row>
    <row r="126" spans="2:5" x14ac:dyDescent="0.2">
      <c r="B126" s="2"/>
      <c r="C126" s="2"/>
      <c r="D126" s="2"/>
      <c r="E126" s="2"/>
    </row>
    <row r="127" spans="2:5" x14ac:dyDescent="0.2">
      <c r="B127" s="2"/>
      <c r="C127" s="2"/>
      <c r="D127" s="2"/>
      <c r="E127" s="2"/>
    </row>
    <row r="128" spans="2:5" x14ac:dyDescent="0.2">
      <c r="B128" s="2"/>
      <c r="C128" s="2"/>
      <c r="D128" s="2"/>
      <c r="E128" s="2"/>
    </row>
    <row r="129" spans="2:5" x14ac:dyDescent="0.2">
      <c r="B129" s="2"/>
      <c r="C129" s="2"/>
      <c r="D129" s="2"/>
      <c r="E129" s="2"/>
    </row>
    <row r="130" spans="2:5" x14ac:dyDescent="0.2">
      <c r="B130" s="2"/>
      <c r="C130" s="2"/>
      <c r="D130" s="2"/>
      <c r="E130" s="2"/>
    </row>
    <row r="131" spans="2:5" x14ac:dyDescent="0.2">
      <c r="B131" s="2"/>
      <c r="C131" s="2"/>
      <c r="D131" s="2"/>
      <c r="E131" s="2"/>
    </row>
    <row r="132" spans="2:5" x14ac:dyDescent="0.2">
      <c r="B132" s="2"/>
      <c r="C132" s="2"/>
      <c r="D132" s="2"/>
      <c r="E132" s="2"/>
    </row>
    <row r="133" spans="2:5" x14ac:dyDescent="0.2">
      <c r="B133" s="2"/>
      <c r="C133" s="2"/>
      <c r="D133" s="2"/>
      <c r="E133" s="2"/>
    </row>
    <row r="134" spans="2:5" x14ac:dyDescent="0.2">
      <c r="B134" s="2"/>
      <c r="C134" s="2"/>
      <c r="D134" s="2"/>
      <c r="E134" s="2"/>
    </row>
    <row r="135" spans="2:5" x14ac:dyDescent="0.2">
      <c r="B135" s="2"/>
      <c r="C135" s="2"/>
      <c r="D135" s="2"/>
      <c r="E135" s="2"/>
    </row>
    <row r="136" spans="2:5" x14ac:dyDescent="0.2">
      <c r="B136" s="2"/>
      <c r="C136" s="2"/>
      <c r="D136" s="2"/>
      <c r="E136" s="2"/>
    </row>
    <row r="137" spans="2:5" x14ac:dyDescent="0.2">
      <c r="B137" s="2"/>
      <c r="C137" s="2"/>
      <c r="D137" s="2"/>
      <c r="E137" s="2"/>
    </row>
  </sheetData>
  <mergeCells count="2">
    <mergeCell ref="B1:E1"/>
    <mergeCell ref="B33:E3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08"/>
  <sheetViews>
    <sheetView zoomScale="80" zoomScaleNormal="80" workbookViewId="0"/>
  </sheetViews>
  <sheetFormatPr defaultRowHeight="23.25" x14ac:dyDescent="0.35"/>
  <cols>
    <col min="1" max="1" width="9.140625" style="43"/>
    <col min="2" max="2" width="57.28515625" style="44" bestFit="1" customWidth="1"/>
    <col min="3" max="3" width="16.5703125" style="44" customWidth="1"/>
    <col min="4" max="4" width="14.140625" style="44" customWidth="1"/>
    <col min="5" max="5" width="9.140625" style="43"/>
    <col min="6" max="6" width="74.42578125" style="72" customWidth="1"/>
    <col min="7" max="10" width="9.140625" style="72"/>
    <col min="11" max="11" width="36.7109375" style="72" customWidth="1"/>
    <col min="12" max="16384" width="9.140625" style="44"/>
  </cols>
  <sheetData>
    <row r="1" spans="2:24" s="52" customFormat="1" ht="72" customHeight="1" x14ac:dyDescent="0.35">
      <c r="B1" s="85" t="s">
        <v>86</v>
      </c>
      <c r="C1" s="90"/>
      <c r="D1" s="90"/>
      <c r="E1" s="90"/>
      <c r="F1" s="90"/>
      <c r="G1" s="90"/>
      <c r="H1" s="90"/>
      <c r="I1" s="90"/>
      <c r="J1" s="90"/>
      <c r="K1" s="90"/>
    </row>
    <row r="2" spans="2:24" x14ac:dyDescent="0.35">
      <c r="F2" s="93" t="s">
        <v>75</v>
      </c>
      <c r="G2" s="95" t="s">
        <v>29</v>
      </c>
      <c r="H2" s="95"/>
      <c r="I2" s="95"/>
      <c r="J2" s="95"/>
      <c r="K2" s="95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spans="2:24" ht="46.5" x14ac:dyDescent="0.35">
      <c r="F3" s="94"/>
      <c r="G3" s="45">
        <v>500</v>
      </c>
      <c r="H3" s="46">
        <v>750</v>
      </c>
      <c r="I3" s="45">
        <v>1000</v>
      </c>
      <c r="J3" s="46">
        <v>1500</v>
      </c>
      <c r="K3" s="81" t="s">
        <v>85</v>
      </c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2:24" x14ac:dyDescent="0.35">
      <c r="B4" s="44" t="s">
        <v>0</v>
      </c>
      <c r="C4" s="60">
        <v>69000</v>
      </c>
      <c r="F4" s="77"/>
      <c r="G4" s="47" t="s">
        <v>28</v>
      </c>
      <c r="H4" s="48" t="s">
        <v>28</v>
      </c>
      <c r="I4" s="47" t="s">
        <v>28</v>
      </c>
      <c r="J4" s="48" t="s">
        <v>28</v>
      </c>
      <c r="K4" s="47" t="s">
        <v>28</v>
      </c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</row>
    <row r="5" spans="2:24" x14ac:dyDescent="0.35">
      <c r="F5" s="66" t="s">
        <v>31</v>
      </c>
      <c r="G5" s="61">
        <v>3</v>
      </c>
      <c r="H5" s="62">
        <v>3.5</v>
      </c>
      <c r="I5" s="61">
        <v>5</v>
      </c>
      <c r="J5" s="62">
        <v>7</v>
      </c>
      <c r="K5" s="61">
        <v>0.5</v>
      </c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</row>
    <row r="6" spans="2:24" x14ac:dyDescent="0.35">
      <c r="B6" s="44" t="s">
        <v>73</v>
      </c>
      <c r="C6" s="60">
        <v>400</v>
      </c>
      <c r="D6" s="44" t="s">
        <v>72</v>
      </c>
      <c r="F6" s="65"/>
      <c r="G6" s="47"/>
      <c r="H6" s="48"/>
      <c r="I6" s="47"/>
      <c r="J6" s="48"/>
      <c r="K6" s="47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</row>
    <row r="7" spans="2:24" x14ac:dyDescent="0.35">
      <c r="F7" s="64"/>
      <c r="G7" s="91" t="s">
        <v>29</v>
      </c>
      <c r="H7" s="91"/>
      <c r="I7" s="91"/>
      <c r="J7" s="91"/>
      <c r="K7" s="92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</row>
    <row r="8" spans="2:24" ht="46.5" x14ac:dyDescent="0.35">
      <c r="B8" s="44" t="s">
        <v>30</v>
      </c>
      <c r="C8" s="60">
        <v>5</v>
      </c>
      <c r="D8" s="44" t="s">
        <v>28</v>
      </c>
      <c r="F8" s="78"/>
      <c r="G8" s="45">
        <v>50</v>
      </c>
      <c r="H8" s="46">
        <v>100</v>
      </c>
      <c r="I8" s="45">
        <v>150</v>
      </c>
      <c r="J8" s="46">
        <v>200</v>
      </c>
      <c r="K8" s="81" t="s">
        <v>85</v>
      </c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</row>
    <row r="9" spans="2:24" x14ac:dyDescent="0.35">
      <c r="F9" s="77"/>
      <c r="G9" s="47" t="s">
        <v>28</v>
      </c>
      <c r="H9" s="48" t="s">
        <v>28</v>
      </c>
      <c r="I9" s="47" t="s">
        <v>28</v>
      </c>
      <c r="J9" s="48" t="s">
        <v>28</v>
      </c>
      <c r="K9" s="80" t="s">
        <v>28</v>
      </c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</row>
    <row r="10" spans="2:24" x14ac:dyDescent="0.35">
      <c r="B10" s="44" t="s">
        <v>74</v>
      </c>
      <c r="C10" s="49">
        <f>C4*C8/100</f>
        <v>3450</v>
      </c>
      <c r="F10" s="79"/>
      <c r="G10" s="47"/>
      <c r="H10" s="48"/>
      <c r="I10" s="47"/>
      <c r="J10" s="48"/>
      <c r="K10" s="47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</row>
    <row r="11" spans="2:24" x14ac:dyDescent="0.35">
      <c r="F11" s="67" t="s">
        <v>84</v>
      </c>
      <c r="G11" s="82"/>
      <c r="H11" s="83"/>
      <c r="I11" s="82"/>
      <c r="J11" s="83"/>
      <c r="K11" s="82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</row>
    <row r="12" spans="2:24" ht="50.1" customHeight="1" x14ac:dyDescent="0.35">
      <c r="B12" s="96" t="s">
        <v>88</v>
      </c>
      <c r="C12" s="96"/>
      <c r="D12" s="96"/>
      <c r="F12" s="76" t="s">
        <v>80</v>
      </c>
      <c r="G12" s="74">
        <v>1.5</v>
      </c>
      <c r="H12" s="75">
        <v>2.5</v>
      </c>
      <c r="I12" s="74">
        <v>3.5</v>
      </c>
      <c r="J12" s="75">
        <v>4.5</v>
      </c>
      <c r="K12" s="74">
        <v>2</v>
      </c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</row>
    <row r="13" spans="2:24" ht="9.9499999999999993" customHeight="1" x14ac:dyDescent="0.35">
      <c r="B13" s="43"/>
      <c r="C13" s="43"/>
      <c r="D13" s="43"/>
      <c r="F13" s="68"/>
      <c r="G13" s="50"/>
      <c r="H13" s="51"/>
      <c r="I13" s="50"/>
      <c r="J13" s="51"/>
      <c r="K13" s="50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</row>
    <row r="14" spans="2:24" ht="50.1" customHeight="1" x14ac:dyDescent="0.35">
      <c r="B14" s="43"/>
      <c r="C14" s="43"/>
      <c r="D14" s="43"/>
      <c r="F14" s="76" t="s">
        <v>81</v>
      </c>
      <c r="G14" s="74">
        <v>3</v>
      </c>
      <c r="H14" s="75">
        <v>5</v>
      </c>
      <c r="I14" s="74">
        <v>6</v>
      </c>
      <c r="J14" s="75">
        <v>7</v>
      </c>
      <c r="K14" s="74">
        <v>2</v>
      </c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</row>
    <row r="15" spans="2:24" ht="9.9499999999999993" customHeight="1" x14ac:dyDescent="0.35">
      <c r="B15" s="43"/>
      <c r="C15" s="43"/>
      <c r="D15" s="43"/>
      <c r="F15" s="68"/>
      <c r="G15" s="50"/>
      <c r="H15" s="51"/>
      <c r="I15" s="50"/>
      <c r="J15" s="51"/>
      <c r="K15" s="50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</row>
    <row r="16" spans="2:24" x14ac:dyDescent="0.35">
      <c r="B16" s="43"/>
      <c r="C16" s="43"/>
      <c r="D16" s="43"/>
      <c r="F16" s="67" t="s">
        <v>32</v>
      </c>
      <c r="G16" s="50"/>
      <c r="H16" s="51"/>
      <c r="I16" s="50"/>
      <c r="J16" s="51"/>
      <c r="K16" s="50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</row>
    <row r="17" spans="2:24" ht="50.1" customHeight="1" x14ac:dyDescent="0.35">
      <c r="B17" s="43"/>
      <c r="C17" s="43"/>
      <c r="D17" s="43"/>
      <c r="F17" s="73" t="s">
        <v>76</v>
      </c>
      <c r="G17" s="74">
        <v>4.5</v>
      </c>
      <c r="H17" s="75">
        <v>8</v>
      </c>
      <c r="I17" s="74">
        <v>11</v>
      </c>
      <c r="J17" s="75">
        <v>14</v>
      </c>
      <c r="K17" s="74">
        <v>6</v>
      </c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</row>
    <row r="18" spans="2:24" ht="9.9499999999999993" customHeight="1" x14ac:dyDescent="0.35">
      <c r="B18" s="43"/>
      <c r="C18" s="43"/>
      <c r="D18" s="43"/>
      <c r="F18" s="68"/>
      <c r="G18" s="50"/>
      <c r="H18" s="51"/>
      <c r="I18" s="50"/>
      <c r="J18" s="51"/>
      <c r="K18" s="50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</row>
    <row r="19" spans="2:24" ht="50.1" customHeight="1" x14ac:dyDescent="0.35">
      <c r="B19" s="43"/>
      <c r="C19" s="43"/>
      <c r="D19" s="43"/>
      <c r="F19" s="76" t="s">
        <v>77</v>
      </c>
      <c r="G19" s="74">
        <v>4</v>
      </c>
      <c r="H19" s="75">
        <v>7</v>
      </c>
      <c r="I19" s="74">
        <v>9.5</v>
      </c>
      <c r="J19" s="75">
        <v>12</v>
      </c>
      <c r="K19" s="74">
        <v>5</v>
      </c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</row>
    <row r="20" spans="2:24" ht="9.9499999999999993" customHeight="1" x14ac:dyDescent="0.35">
      <c r="B20" s="43"/>
      <c r="C20" s="43"/>
      <c r="D20" s="43"/>
      <c r="F20" s="68"/>
      <c r="G20" s="50"/>
      <c r="H20" s="51"/>
      <c r="I20" s="50"/>
      <c r="J20" s="51"/>
      <c r="K20" s="50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</row>
    <row r="21" spans="2:24" ht="50.1" customHeight="1" x14ac:dyDescent="0.35">
      <c r="B21" s="43"/>
      <c r="C21" s="43"/>
      <c r="D21" s="43"/>
      <c r="F21" s="76" t="s">
        <v>82</v>
      </c>
      <c r="G21" s="74">
        <v>3</v>
      </c>
      <c r="H21" s="75">
        <v>5.5</v>
      </c>
      <c r="I21" s="74">
        <v>7.5</v>
      </c>
      <c r="J21" s="75">
        <v>9.5</v>
      </c>
      <c r="K21" s="74">
        <v>4</v>
      </c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</row>
    <row r="22" spans="2:24" ht="9.9499999999999993" customHeight="1" x14ac:dyDescent="0.35">
      <c r="B22" s="43"/>
      <c r="C22" s="43"/>
      <c r="D22" s="43"/>
      <c r="F22" s="68"/>
      <c r="G22" s="50"/>
      <c r="H22" s="51"/>
      <c r="I22" s="50"/>
      <c r="J22" s="51"/>
      <c r="K22" s="50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</row>
    <row r="23" spans="2:24" ht="50.1" customHeight="1" x14ac:dyDescent="0.35">
      <c r="B23" s="43"/>
      <c r="C23" s="43"/>
      <c r="D23" s="43"/>
      <c r="F23" s="76" t="s">
        <v>83</v>
      </c>
      <c r="G23" s="74">
        <v>2.5</v>
      </c>
      <c r="H23" s="75">
        <v>4.5</v>
      </c>
      <c r="I23" s="74">
        <v>6.5</v>
      </c>
      <c r="J23" s="75">
        <v>8.5</v>
      </c>
      <c r="K23" s="74">
        <v>4</v>
      </c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</row>
    <row r="24" spans="2:24" ht="9.9499999999999993" customHeight="1" x14ac:dyDescent="0.35">
      <c r="B24" s="43"/>
      <c r="C24" s="43"/>
      <c r="D24" s="43"/>
      <c r="F24" s="68"/>
      <c r="G24" s="50"/>
      <c r="H24" s="51"/>
      <c r="I24" s="50"/>
      <c r="J24" s="51"/>
      <c r="K24" s="50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</row>
    <row r="25" spans="2:24" ht="50.1" customHeight="1" x14ac:dyDescent="0.35">
      <c r="B25" s="43"/>
      <c r="C25" s="43"/>
      <c r="D25" s="43"/>
      <c r="F25" s="76" t="s">
        <v>78</v>
      </c>
      <c r="G25" s="74">
        <v>2</v>
      </c>
      <c r="H25" s="75">
        <v>4</v>
      </c>
      <c r="I25" s="74">
        <v>5.5</v>
      </c>
      <c r="J25" s="75">
        <v>7</v>
      </c>
      <c r="K25" s="74">
        <v>3</v>
      </c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</row>
    <row r="26" spans="2:24" ht="9.9499999999999993" customHeight="1" x14ac:dyDescent="0.35">
      <c r="B26" s="43"/>
      <c r="C26" s="43"/>
      <c r="D26" s="43"/>
      <c r="F26" s="68"/>
      <c r="G26" s="50"/>
      <c r="H26" s="51"/>
      <c r="I26" s="50"/>
      <c r="J26" s="51"/>
      <c r="K26" s="50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</row>
    <row r="27" spans="2:24" ht="50.1" customHeight="1" x14ac:dyDescent="0.35">
      <c r="B27" s="43"/>
      <c r="C27" s="43"/>
      <c r="D27" s="43"/>
      <c r="F27" s="73" t="s">
        <v>79</v>
      </c>
      <c r="G27" s="74">
        <v>1.5</v>
      </c>
      <c r="H27" s="75">
        <v>2</v>
      </c>
      <c r="I27" s="74">
        <v>2.5</v>
      </c>
      <c r="J27" s="75">
        <v>3</v>
      </c>
      <c r="K27" s="74">
        <v>0.5</v>
      </c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</row>
    <row r="28" spans="2:24" x14ac:dyDescent="0.35">
      <c r="B28" s="43"/>
      <c r="C28" s="43"/>
      <c r="D28" s="43"/>
      <c r="F28" s="69"/>
      <c r="G28" s="70"/>
      <c r="H28" s="71"/>
      <c r="I28" s="70"/>
      <c r="J28" s="71"/>
      <c r="K28" s="70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</row>
    <row r="29" spans="2:24" x14ac:dyDescent="0.35">
      <c r="B29" s="43"/>
      <c r="C29" s="43"/>
      <c r="D29" s="43"/>
      <c r="F29" s="63"/>
      <c r="G29" s="63"/>
      <c r="H29" s="63"/>
      <c r="I29" s="63"/>
      <c r="J29" s="63"/>
      <c r="K29" s="6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 spans="2:24" x14ac:dyDescent="0.35">
      <c r="B30" s="43"/>
      <c r="C30" s="43"/>
      <c r="D30" s="43"/>
      <c r="F30" s="63"/>
      <c r="G30" s="63"/>
      <c r="H30" s="63"/>
      <c r="I30" s="63"/>
      <c r="J30" s="63"/>
      <c r="K30" s="6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</row>
    <row r="31" spans="2:24" x14ac:dyDescent="0.35">
      <c r="B31" s="43"/>
      <c r="C31" s="43"/>
      <c r="D31" s="43"/>
      <c r="F31" s="63"/>
      <c r="G31" s="63"/>
      <c r="H31" s="63"/>
      <c r="I31" s="63"/>
      <c r="J31" s="63"/>
      <c r="K31" s="6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 spans="2:24" x14ac:dyDescent="0.35">
      <c r="B32" s="43"/>
      <c r="C32" s="43"/>
      <c r="D32" s="43"/>
      <c r="F32" s="63"/>
      <c r="G32" s="63"/>
      <c r="H32" s="63"/>
      <c r="I32" s="63"/>
      <c r="J32" s="63"/>
      <c r="K32" s="6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</row>
    <row r="33" spans="2:24" x14ac:dyDescent="0.35">
      <c r="B33" s="43"/>
      <c r="C33" s="43"/>
      <c r="D33" s="43"/>
      <c r="F33" s="63"/>
      <c r="G33" s="63"/>
      <c r="H33" s="63"/>
      <c r="I33" s="63"/>
      <c r="J33" s="63"/>
      <c r="K33" s="6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</row>
    <row r="34" spans="2:24" x14ac:dyDescent="0.35">
      <c r="B34" s="43"/>
      <c r="C34" s="43"/>
      <c r="D34" s="43"/>
      <c r="F34" s="63"/>
      <c r="G34" s="63"/>
      <c r="H34" s="63"/>
      <c r="I34" s="63"/>
      <c r="J34" s="63"/>
      <c r="K34" s="6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 spans="2:24" x14ac:dyDescent="0.35">
      <c r="B35" s="43"/>
      <c r="C35" s="43"/>
      <c r="D35" s="43"/>
      <c r="F35" s="63"/>
      <c r="G35" s="63"/>
      <c r="H35" s="63"/>
      <c r="I35" s="63"/>
      <c r="J35" s="63"/>
      <c r="K35" s="6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 spans="2:24" x14ac:dyDescent="0.35">
      <c r="B36" s="43"/>
      <c r="C36" s="43"/>
      <c r="D36" s="43"/>
      <c r="F36" s="63"/>
      <c r="G36" s="63"/>
      <c r="H36" s="63"/>
      <c r="I36" s="63"/>
      <c r="J36" s="63"/>
      <c r="K36" s="6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 spans="2:24" x14ac:dyDescent="0.35">
      <c r="B37" s="43"/>
      <c r="C37" s="43"/>
      <c r="D37" s="43"/>
      <c r="F37" s="63"/>
      <c r="G37" s="63"/>
      <c r="H37" s="63"/>
      <c r="I37" s="63"/>
      <c r="J37" s="63"/>
      <c r="K37" s="6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 spans="2:24" x14ac:dyDescent="0.35">
      <c r="B38" s="43"/>
      <c r="C38" s="43"/>
      <c r="D38" s="43"/>
      <c r="F38" s="63"/>
      <c r="G38" s="63"/>
      <c r="H38" s="63"/>
      <c r="I38" s="63"/>
      <c r="J38" s="63"/>
      <c r="K38" s="6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 spans="2:24" x14ac:dyDescent="0.35">
      <c r="B39" s="43"/>
      <c r="C39" s="43"/>
      <c r="D39" s="43"/>
      <c r="F39" s="63"/>
      <c r="G39" s="63"/>
      <c r="H39" s="63"/>
      <c r="I39" s="63"/>
      <c r="J39" s="63"/>
      <c r="K39" s="6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 spans="2:24" x14ac:dyDescent="0.35">
      <c r="B40" s="43"/>
      <c r="C40" s="43"/>
      <c r="D40" s="43"/>
      <c r="F40" s="63"/>
      <c r="G40" s="63"/>
      <c r="H40" s="63"/>
      <c r="I40" s="63"/>
      <c r="J40" s="63"/>
      <c r="K40" s="6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spans="2:24" x14ac:dyDescent="0.35">
      <c r="B41" s="43"/>
      <c r="C41" s="43"/>
      <c r="D41" s="43"/>
      <c r="F41" s="63"/>
      <c r="G41" s="63"/>
      <c r="H41" s="63"/>
      <c r="I41" s="63"/>
      <c r="J41" s="63"/>
      <c r="K41" s="6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spans="2:24" x14ac:dyDescent="0.35">
      <c r="B42" s="43"/>
      <c r="C42" s="43"/>
      <c r="D42" s="43"/>
      <c r="F42" s="63"/>
      <c r="G42" s="63"/>
      <c r="H42" s="63"/>
      <c r="I42" s="63"/>
      <c r="J42" s="63"/>
      <c r="K42" s="6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spans="2:24" x14ac:dyDescent="0.35">
      <c r="B43" s="43"/>
      <c r="C43" s="43"/>
      <c r="D43" s="43"/>
      <c r="F43" s="63"/>
      <c r="G43" s="63"/>
      <c r="H43" s="63"/>
      <c r="I43" s="63"/>
      <c r="J43" s="63"/>
      <c r="K43" s="6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spans="2:24" x14ac:dyDescent="0.35">
      <c r="B44" s="43"/>
      <c r="C44" s="43"/>
      <c r="D44" s="43"/>
      <c r="F44" s="63"/>
      <c r="G44" s="63"/>
      <c r="H44" s="63"/>
      <c r="I44" s="63"/>
      <c r="J44" s="63"/>
      <c r="K44" s="6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spans="2:24" x14ac:dyDescent="0.35">
      <c r="B45" s="43"/>
      <c r="C45" s="43"/>
      <c r="D45" s="43"/>
      <c r="F45" s="63"/>
      <c r="G45" s="63"/>
      <c r="H45" s="63"/>
      <c r="I45" s="63"/>
      <c r="J45" s="63"/>
      <c r="K45" s="6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spans="2:24" x14ac:dyDescent="0.35">
      <c r="B46" s="43"/>
      <c r="C46" s="43"/>
      <c r="D46" s="43"/>
      <c r="F46" s="63"/>
      <c r="G46" s="63"/>
      <c r="H46" s="63"/>
      <c r="I46" s="63"/>
      <c r="J46" s="63"/>
      <c r="K46" s="6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spans="2:24" x14ac:dyDescent="0.35">
      <c r="B47" s="43"/>
      <c r="C47" s="43"/>
      <c r="D47" s="43"/>
      <c r="F47" s="63"/>
      <c r="G47" s="63"/>
      <c r="H47" s="63"/>
      <c r="I47" s="63"/>
      <c r="J47" s="63"/>
      <c r="K47" s="6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spans="2:24" x14ac:dyDescent="0.35">
      <c r="B48" s="43"/>
      <c r="C48" s="43"/>
      <c r="D48" s="43"/>
      <c r="F48" s="63"/>
      <c r="G48" s="63"/>
      <c r="H48" s="63"/>
      <c r="I48" s="63"/>
      <c r="J48" s="63"/>
      <c r="K48" s="6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spans="2:24" x14ac:dyDescent="0.35">
      <c r="B49" s="43"/>
      <c r="C49" s="43"/>
      <c r="D49" s="43"/>
      <c r="F49" s="63"/>
      <c r="G49" s="63"/>
      <c r="H49" s="63"/>
      <c r="I49" s="63"/>
      <c r="J49" s="63"/>
      <c r="K49" s="6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spans="2:24" x14ac:dyDescent="0.35">
      <c r="B50" s="43"/>
      <c r="C50" s="43"/>
      <c r="D50" s="43"/>
      <c r="F50" s="63"/>
      <c r="G50" s="63"/>
      <c r="H50" s="63"/>
      <c r="I50" s="63"/>
      <c r="J50" s="63"/>
      <c r="K50" s="6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spans="2:24" x14ac:dyDescent="0.35">
      <c r="B51" s="43"/>
      <c r="C51" s="43"/>
      <c r="D51" s="43"/>
      <c r="F51" s="63"/>
      <c r="G51" s="63"/>
      <c r="H51" s="63"/>
      <c r="I51" s="63"/>
      <c r="J51" s="63"/>
      <c r="K51" s="6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spans="2:24" x14ac:dyDescent="0.35">
      <c r="B52" s="43"/>
      <c r="C52" s="43"/>
      <c r="D52" s="43"/>
      <c r="F52" s="63"/>
      <c r="G52" s="63"/>
      <c r="H52" s="63"/>
      <c r="I52" s="63"/>
      <c r="J52" s="63"/>
      <c r="K52" s="6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spans="2:24" x14ac:dyDescent="0.35">
      <c r="B53" s="43"/>
      <c r="C53" s="43"/>
      <c r="D53" s="43"/>
      <c r="F53" s="63"/>
      <c r="G53" s="63"/>
      <c r="H53" s="63"/>
      <c r="I53" s="63"/>
      <c r="J53" s="63"/>
      <c r="K53" s="6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spans="2:24" x14ac:dyDescent="0.35">
      <c r="B54" s="43"/>
      <c r="C54" s="43"/>
      <c r="D54" s="43"/>
      <c r="F54" s="63"/>
      <c r="G54" s="63"/>
      <c r="H54" s="63"/>
      <c r="I54" s="63"/>
      <c r="J54" s="63"/>
      <c r="K54" s="6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spans="2:24" x14ac:dyDescent="0.35">
      <c r="B55" s="43"/>
      <c r="C55" s="43"/>
      <c r="D55" s="43"/>
      <c r="F55" s="63"/>
      <c r="G55" s="63"/>
      <c r="H55" s="63"/>
      <c r="I55" s="63"/>
      <c r="J55" s="63"/>
      <c r="K55" s="6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spans="2:24" x14ac:dyDescent="0.35">
      <c r="B56" s="43"/>
      <c r="C56" s="43"/>
      <c r="D56" s="43"/>
      <c r="F56" s="63"/>
      <c r="G56" s="63"/>
      <c r="H56" s="63"/>
      <c r="I56" s="63"/>
      <c r="J56" s="63"/>
      <c r="K56" s="6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spans="2:24" x14ac:dyDescent="0.35">
      <c r="B57" s="43"/>
      <c r="C57" s="43"/>
      <c r="D57" s="43"/>
      <c r="F57" s="63"/>
      <c r="G57" s="63"/>
      <c r="H57" s="63"/>
      <c r="I57" s="63"/>
      <c r="J57" s="63"/>
      <c r="K57" s="6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spans="2:24" x14ac:dyDescent="0.35">
      <c r="B58" s="43"/>
      <c r="C58" s="43"/>
      <c r="D58" s="43"/>
      <c r="F58" s="63"/>
      <c r="G58" s="63"/>
      <c r="H58" s="63"/>
      <c r="I58" s="63"/>
      <c r="J58" s="63"/>
      <c r="K58" s="6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spans="2:24" x14ac:dyDescent="0.35">
      <c r="B59" s="43"/>
      <c r="C59" s="43"/>
      <c r="D59" s="43"/>
      <c r="F59" s="63"/>
      <c r="G59" s="63"/>
      <c r="H59" s="63"/>
      <c r="I59" s="63"/>
      <c r="J59" s="63"/>
      <c r="K59" s="6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spans="2:24" x14ac:dyDescent="0.35">
      <c r="B60" s="43"/>
      <c r="C60" s="43"/>
      <c r="D60" s="43"/>
      <c r="F60" s="63"/>
      <c r="G60" s="63"/>
      <c r="H60" s="63"/>
      <c r="I60" s="63"/>
      <c r="J60" s="63"/>
      <c r="K60" s="6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spans="2:24" x14ac:dyDescent="0.35">
      <c r="B61" s="43"/>
      <c r="C61" s="43"/>
      <c r="D61" s="43"/>
      <c r="F61" s="63"/>
      <c r="G61" s="63"/>
      <c r="H61" s="63"/>
      <c r="I61" s="63"/>
      <c r="J61" s="63"/>
      <c r="K61" s="6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spans="2:24" x14ac:dyDescent="0.35">
      <c r="B62" s="43"/>
      <c r="C62" s="43"/>
      <c r="D62" s="43"/>
      <c r="F62" s="63"/>
      <c r="G62" s="63"/>
      <c r="H62" s="63"/>
      <c r="I62" s="63"/>
      <c r="J62" s="63"/>
      <c r="K62" s="6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spans="2:24" x14ac:dyDescent="0.35">
      <c r="B63" s="43"/>
      <c r="C63" s="43"/>
      <c r="D63" s="43"/>
      <c r="F63" s="63"/>
      <c r="G63" s="63"/>
      <c r="H63" s="63"/>
      <c r="I63" s="63"/>
      <c r="J63" s="63"/>
      <c r="K63" s="6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spans="2:24" x14ac:dyDescent="0.35">
      <c r="B64" s="43"/>
      <c r="C64" s="43"/>
      <c r="D64" s="43"/>
      <c r="F64" s="63"/>
      <c r="G64" s="63"/>
      <c r="H64" s="63"/>
      <c r="I64" s="63"/>
      <c r="J64" s="63"/>
      <c r="K64" s="6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spans="2:24" x14ac:dyDescent="0.35">
      <c r="B65" s="43"/>
      <c r="C65" s="43"/>
      <c r="D65" s="43"/>
      <c r="F65" s="63"/>
      <c r="G65" s="63"/>
      <c r="H65" s="63"/>
      <c r="I65" s="63"/>
      <c r="J65" s="63"/>
      <c r="K65" s="6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spans="2:24" x14ac:dyDescent="0.35">
      <c r="B66" s="43"/>
      <c r="C66" s="43"/>
      <c r="D66" s="43"/>
      <c r="F66" s="63"/>
      <c r="G66" s="63"/>
      <c r="H66" s="63"/>
      <c r="I66" s="63"/>
      <c r="J66" s="63"/>
      <c r="K66" s="6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spans="2:24" x14ac:dyDescent="0.35">
      <c r="B67" s="43"/>
      <c r="C67" s="43"/>
      <c r="D67" s="43"/>
      <c r="F67" s="63"/>
      <c r="G67" s="63"/>
      <c r="H67" s="63"/>
      <c r="I67" s="63"/>
      <c r="J67" s="63"/>
      <c r="K67" s="6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spans="2:24" x14ac:dyDescent="0.35">
      <c r="B68" s="43"/>
      <c r="C68" s="43"/>
      <c r="D68" s="43"/>
      <c r="F68" s="63"/>
      <c r="G68" s="63"/>
      <c r="H68" s="63"/>
      <c r="I68" s="63"/>
      <c r="J68" s="63"/>
      <c r="K68" s="6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spans="2:24" x14ac:dyDescent="0.35">
      <c r="B69" s="43"/>
      <c r="C69" s="43"/>
      <c r="D69" s="43"/>
      <c r="F69" s="63"/>
      <c r="G69" s="63"/>
      <c r="H69" s="63"/>
      <c r="I69" s="63"/>
      <c r="J69" s="63"/>
      <c r="K69" s="6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spans="2:24" x14ac:dyDescent="0.35">
      <c r="B70" s="43"/>
      <c r="C70" s="43"/>
      <c r="D70" s="43"/>
      <c r="F70" s="63"/>
      <c r="G70" s="63"/>
      <c r="H70" s="63"/>
      <c r="I70" s="63"/>
      <c r="J70" s="63"/>
      <c r="K70" s="6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spans="2:24" x14ac:dyDescent="0.35">
      <c r="B71" s="43"/>
      <c r="C71" s="43"/>
      <c r="D71" s="43"/>
      <c r="F71" s="63"/>
      <c r="G71" s="63"/>
      <c r="H71" s="63"/>
      <c r="I71" s="63"/>
      <c r="J71" s="63"/>
      <c r="K71" s="6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spans="2:24" x14ac:dyDescent="0.35">
      <c r="B72" s="43"/>
      <c r="C72" s="43"/>
      <c r="D72" s="43"/>
      <c r="F72" s="63"/>
      <c r="G72" s="63"/>
      <c r="H72" s="63"/>
      <c r="I72" s="63"/>
      <c r="J72" s="63"/>
      <c r="K72" s="6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spans="2:24" x14ac:dyDescent="0.35">
      <c r="B73" s="43"/>
      <c r="C73" s="43"/>
      <c r="D73" s="43"/>
      <c r="F73" s="63"/>
      <c r="G73" s="63"/>
      <c r="H73" s="63"/>
      <c r="I73" s="63"/>
      <c r="J73" s="63"/>
      <c r="K73" s="6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spans="2:24" x14ac:dyDescent="0.35">
      <c r="B74" s="43"/>
      <c r="C74" s="43"/>
      <c r="D74" s="43"/>
      <c r="F74" s="63"/>
      <c r="G74" s="63"/>
      <c r="H74" s="63"/>
      <c r="I74" s="63"/>
      <c r="J74" s="63"/>
      <c r="K74" s="6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spans="2:24" x14ac:dyDescent="0.35">
      <c r="B75" s="43"/>
      <c r="C75" s="43"/>
      <c r="D75" s="43"/>
      <c r="F75" s="63"/>
      <c r="G75" s="63"/>
      <c r="H75" s="63"/>
      <c r="I75" s="63"/>
      <c r="J75" s="63"/>
      <c r="K75" s="6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spans="2:24" x14ac:dyDescent="0.35">
      <c r="B76" s="43"/>
      <c r="C76" s="43"/>
      <c r="D76" s="43"/>
      <c r="F76" s="63"/>
      <c r="G76" s="63"/>
      <c r="H76" s="63"/>
      <c r="I76" s="63"/>
      <c r="J76" s="63"/>
      <c r="K76" s="6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spans="2:24" x14ac:dyDescent="0.35">
      <c r="B77" s="43"/>
      <c r="C77" s="43"/>
      <c r="D77" s="43"/>
      <c r="F77" s="63"/>
      <c r="G77" s="63"/>
      <c r="H77" s="63"/>
      <c r="I77" s="63"/>
      <c r="J77" s="63"/>
      <c r="K77" s="6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spans="2:24" x14ac:dyDescent="0.35">
      <c r="B78" s="43"/>
      <c r="C78" s="43"/>
      <c r="D78" s="43"/>
      <c r="F78" s="63"/>
      <c r="G78" s="63"/>
      <c r="H78" s="63"/>
      <c r="I78" s="63"/>
      <c r="J78" s="63"/>
      <c r="K78" s="6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spans="2:24" x14ac:dyDescent="0.35">
      <c r="B79" s="43"/>
      <c r="C79" s="43"/>
      <c r="D79" s="43"/>
      <c r="F79" s="63"/>
      <c r="G79" s="63"/>
      <c r="H79" s="63"/>
      <c r="I79" s="63"/>
      <c r="J79" s="63"/>
      <c r="K79" s="6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spans="2:24" x14ac:dyDescent="0.35">
      <c r="B80" s="43"/>
      <c r="C80" s="43"/>
      <c r="D80" s="43"/>
      <c r="F80" s="63"/>
      <c r="G80" s="63"/>
      <c r="H80" s="63"/>
      <c r="I80" s="63"/>
      <c r="J80" s="63"/>
      <c r="K80" s="6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spans="2:24" x14ac:dyDescent="0.35">
      <c r="B81" s="43"/>
      <c r="C81" s="43"/>
      <c r="D81" s="43"/>
      <c r="F81" s="63"/>
      <c r="G81" s="63"/>
      <c r="H81" s="63"/>
      <c r="I81" s="63"/>
      <c r="J81" s="63"/>
      <c r="K81" s="6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spans="2:24" x14ac:dyDescent="0.35">
      <c r="B82" s="43"/>
      <c r="C82" s="43"/>
      <c r="D82" s="43"/>
      <c r="F82" s="63"/>
      <c r="G82" s="63"/>
      <c r="H82" s="63"/>
      <c r="I82" s="63"/>
      <c r="J82" s="63"/>
      <c r="K82" s="6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spans="2:24" x14ac:dyDescent="0.35">
      <c r="B83" s="43"/>
      <c r="C83" s="43"/>
      <c r="D83" s="43"/>
      <c r="F83" s="63"/>
      <c r="G83" s="63"/>
      <c r="H83" s="63"/>
      <c r="I83" s="63"/>
      <c r="J83" s="63"/>
      <c r="K83" s="6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spans="2:24" x14ac:dyDescent="0.35">
      <c r="B84" s="43"/>
      <c r="C84" s="43"/>
      <c r="D84" s="43"/>
      <c r="F84" s="63"/>
      <c r="G84" s="63"/>
      <c r="H84" s="63"/>
      <c r="I84" s="63"/>
      <c r="J84" s="63"/>
      <c r="K84" s="6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spans="2:24" x14ac:dyDescent="0.35">
      <c r="B85" s="43"/>
      <c r="C85" s="43"/>
      <c r="D85" s="43"/>
      <c r="F85" s="63"/>
      <c r="G85" s="63"/>
      <c r="H85" s="63"/>
      <c r="I85" s="63"/>
      <c r="J85" s="63"/>
      <c r="K85" s="6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spans="2:24" x14ac:dyDescent="0.35">
      <c r="B86" s="43"/>
      <c r="C86" s="43"/>
      <c r="D86" s="43"/>
      <c r="F86" s="63"/>
      <c r="G86" s="63"/>
      <c r="H86" s="63"/>
      <c r="I86" s="63"/>
      <c r="J86" s="63"/>
      <c r="K86" s="6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spans="2:24" x14ac:dyDescent="0.35">
      <c r="B87" s="43"/>
      <c r="C87" s="43"/>
      <c r="D87" s="43"/>
      <c r="F87" s="63"/>
      <c r="G87" s="63"/>
      <c r="H87" s="63"/>
      <c r="I87" s="63"/>
      <c r="J87" s="63"/>
      <c r="K87" s="6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spans="2:24" x14ac:dyDescent="0.35">
      <c r="B88" s="43"/>
      <c r="C88" s="43"/>
      <c r="D88" s="43"/>
      <c r="F88" s="63"/>
      <c r="G88" s="63"/>
      <c r="H88" s="63"/>
      <c r="I88" s="63"/>
      <c r="J88" s="63"/>
      <c r="K88" s="6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spans="2:24" x14ac:dyDescent="0.35">
      <c r="B89" s="43"/>
      <c r="C89" s="43"/>
      <c r="D89" s="43"/>
    </row>
    <row r="90" spans="2:24" x14ac:dyDescent="0.35">
      <c r="B90" s="43"/>
      <c r="C90" s="43"/>
      <c r="D90" s="43"/>
    </row>
    <row r="91" spans="2:24" x14ac:dyDescent="0.35">
      <c r="B91" s="43"/>
      <c r="C91" s="43"/>
      <c r="D91" s="43"/>
    </row>
    <row r="92" spans="2:24" x14ac:dyDescent="0.35">
      <c r="B92" s="43"/>
      <c r="C92" s="43"/>
      <c r="D92" s="43"/>
    </row>
    <row r="93" spans="2:24" x14ac:dyDescent="0.35">
      <c r="B93" s="43"/>
      <c r="C93" s="43"/>
      <c r="D93" s="43"/>
    </row>
    <row r="94" spans="2:24" x14ac:dyDescent="0.35">
      <c r="B94" s="43"/>
      <c r="C94" s="43"/>
      <c r="D94" s="43"/>
    </row>
    <row r="95" spans="2:24" x14ac:dyDescent="0.35">
      <c r="B95" s="43"/>
      <c r="C95" s="43"/>
      <c r="D95" s="43"/>
    </row>
    <row r="96" spans="2:24" x14ac:dyDescent="0.35">
      <c r="B96" s="43"/>
      <c r="C96" s="43"/>
      <c r="D96" s="43"/>
    </row>
    <row r="97" spans="2:4" x14ac:dyDescent="0.35">
      <c r="B97" s="43"/>
      <c r="C97" s="43"/>
      <c r="D97" s="43"/>
    </row>
    <row r="98" spans="2:4" x14ac:dyDescent="0.35">
      <c r="B98" s="43"/>
      <c r="C98" s="43"/>
      <c r="D98" s="43"/>
    </row>
    <row r="99" spans="2:4" x14ac:dyDescent="0.35">
      <c r="B99" s="43"/>
      <c r="C99" s="43"/>
      <c r="D99" s="43"/>
    </row>
    <row r="100" spans="2:4" x14ac:dyDescent="0.35">
      <c r="B100" s="43"/>
      <c r="C100" s="43"/>
      <c r="D100" s="43"/>
    </row>
    <row r="101" spans="2:4" x14ac:dyDescent="0.35">
      <c r="B101" s="43"/>
      <c r="C101" s="43"/>
      <c r="D101" s="43"/>
    </row>
    <row r="102" spans="2:4" x14ac:dyDescent="0.35">
      <c r="B102" s="43"/>
      <c r="C102" s="43"/>
      <c r="D102" s="43"/>
    </row>
    <row r="103" spans="2:4" x14ac:dyDescent="0.35">
      <c r="B103" s="43"/>
      <c r="C103" s="43"/>
      <c r="D103" s="43"/>
    </row>
    <row r="104" spans="2:4" x14ac:dyDescent="0.35">
      <c r="B104" s="43"/>
      <c r="C104" s="43"/>
      <c r="D104" s="43"/>
    </row>
    <row r="105" spans="2:4" x14ac:dyDescent="0.35">
      <c r="B105" s="43"/>
      <c r="C105" s="43"/>
      <c r="D105" s="43"/>
    </row>
    <row r="106" spans="2:4" x14ac:dyDescent="0.35">
      <c r="B106" s="43"/>
      <c r="C106" s="43"/>
      <c r="D106" s="43"/>
    </row>
    <row r="107" spans="2:4" x14ac:dyDescent="0.35">
      <c r="B107" s="43"/>
      <c r="C107" s="43"/>
      <c r="D107" s="43"/>
    </row>
    <row r="108" spans="2:4" x14ac:dyDescent="0.35">
      <c r="B108" s="43"/>
      <c r="C108" s="43"/>
      <c r="D108" s="43"/>
    </row>
  </sheetData>
  <mergeCells count="5">
    <mergeCell ref="B1:K1"/>
    <mergeCell ref="G7:K7"/>
    <mergeCell ref="F2:F3"/>
    <mergeCell ref="G2:K2"/>
    <mergeCell ref="B12:D12"/>
  </mergeCells>
  <pageMargins left="0.70866141732283472" right="0.70866141732283472" top="0.74803149606299213" bottom="0.74803149606299213" header="0.31496062992125984" footer="0.31496062992125984"/>
  <pageSetup paperSize="9" scale="47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Hectare</vt:lpstr>
      <vt:lpstr>Hour</vt:lpstr>
      <vt:lpstr>Workrate</vt:lpstr>
      <vt:lpstr>Repair costs</vt:lpstr>
    </vt:vector>
  </TitlesOfParts>
  <Company>AHDB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swainstont</dc:creator>
  <cp:lastModifiedBy>Jason Pole</cp:lastModifiedBy>
  <cp:lastPrinted>2015-11-23T09:55:35Z</cp:lastPrinted>
  <dcterms:created xsi:type="dcterms:W3CDTF">2015-04-22T10:51:36Z</dcterms:created>
  <dcterms:modified xsi:type="dcterms:W3CDTF">2020-02-12T12:20:41Z</dcterms:modified>
</cp:coreProperties>
</file>